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im\Downloads\"/>
    </mc:Choice>
  </mc:AlternateContent>
  <xr:revisionPtr revIDLastSave="0" documentId="13_ncr:1_{2EB9A6CC-805E-4145-A0D1-CB068A79570C}" xr6:coauthVersionLast="47" xr6:coauthVersionMax="47" xr10:uidLastSave="{00000000-0000-0000-0000-000000000000}"/>
  <bookViews>
    <workbookView xWindow="-120" yWindow="480" windowWidth="29040" windowHeight="15120" xr2:uid="{00000000-000D-0000-FFFF-FFFF00000000}"/>
  </bookViews>
  <sheets>
    <sheet name="অর্থ গ্রহন" sheetId="1" r:id="rId1"/>
    <sheet name="খরচ" sheetId="2" r:id="rId2"/>
    <sheet name="বকেয়া" sheetId="3" r:id="rId3"/>
  </sheets>
  <definedNames>
    <definedName name="_xlnm._FilterDatabase" localSheetId="1" hidden="1">খরচ!$A$4:$K$97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H9" i="3" l="1"/>
  <c r="Z6" i="2"/>
  <c r="Y6" i="2"/>
  <c r="G9" i="3" s="1"/>
  <c r="H37" i="2"/>
  <c r="I9" i="3" l="1"/>
  <c r="H33" i="2"/>
  <c r="H32" i="2"/>
  <c r="H29" i="2"/>
  <c r="AA3" i="2" s="1"/>
  <c r="S2" i="1" s="1"/>
  <c r="N3" i="2" l="1"/>
  <c r="N4" i="2"/>
  <c r="N2" i="2"/>
  <c r="H4" i="3" l="1"/>
  <c r="H5" i="3"/>
  <c r="H6" i="3"/>
  <c r="H7" i="3"/>
  <c r="H8" i="3"/>
  <c r="H3" i="3"/>
  <c r="H2" i="3"/>
  <c r="N4" i="1"/>
  <c r="N3" i="1"/>
  <c r="N2" i="1"/>
  <c r="F4" i="1"/>
  <c r="I2" i="2" l="1"/>
  <c r="F6" i="1" s="1"/>
  <c r="I6" i="1" l="1"/>
  <c r="T3" i="2"/>
  <c r="X3" i="2"/>
  <c r="V6" i="2"/>
  <c r="X6" i="2"/>
  <c r="T6" i="2"/>
  <c r="Z3" i="2"/>
  <c r="V3" i="2"/>
  <c r="U6" i="2"/>
  <c r="G5" i="3" s="1"/>
  <c r="I5" i="3" s="1"/>
  <c r="W3" i="2"/>
  <c r="G6" i="3" s="1"/>
  <c r="I6" i="3" s="1"/>
  <c r="Y3" i="2"/>
  <c r="G8" i="3" s="1"/>
  <c r="I8" i="3" s="1"/>
  <c r="U3" i="2"/>
  <c r="G4" i="3" s="1"/>
  <c r="I4" i="3" s="1"/>
  <c r="W6" i="2"/>
  <c r="G7" i="3" s="1"/>
  <c r="I7" i="3" s="1"/>
  <c r="S6" i="2"/>
  <c r="G3" i="3" s="1"/>
  <c r="I3" i="3" s="1"/>
  <c r="S3" i="2"/>
  <c r="G2" i="3" s="1"/>
  <c r="I2" i="3" s="1"/>
  <c r="K1" i="3" l="1"/>
  <c r="Q2" i="1" s="1"/>
  <c r="Q1" i="1"/>
  <c r="Q3" i="1" l="1"/>
</calcChain>
</file>

<file path=xl/sharedStrings.xml><?xml version="1.0" encoding="utf-8"?>
<sst xmlns="http://schemas.openxmlformats.org/spreadsheetml/2006/main" count="437" uniqueCount="120">
  <si>
    <t>তামীরাত - ১৪৪৬/৪৭ হিজরী</t>
  </si>
  <si>
    <t>দস্তরখান ভবন</t>
  </si>
  <si>
    <t>মাদরাসা থেকে পাবো</t>
  </si>
  <si>
    <t>মোট অর্থ গ্রহণ</t>
  </si>
  <si>
    <t>আবাসিক ভবন</t>
  </si>
  <si>
    <t>বিভিন্ন স্থানে বকেয়া</t>
  </si>
  <si>
    <t>মক্তব</t>
  </si>
  <si>
    <t>দফতরে বিদ্যমান</t>
  </si>
  <si>
    <t xml:space="preserve">মোট ব্যয় </t>
  </si>
  <si>
    <t>বকেয়া/বিদ্যমান</t>
  </si>
  <si>
    <t>মাস</t>
  </si>
  <si>
    <t>তারীখ</t>
  </si>
  <si>
    <t>পরিমাণ</t>
  </si>
  <si>
    <t>মন্তব্য</t>
  </si>
  <si>
    <t>শাওয়াল</t>
  </si>
  <si>
    <t>জিলকাদ</t>
  </si>
  <si>
    <t>জিলহাজ</t>
  </si>
  <si>
    <t>মুহাররম</t>
  </si>
  <si>
    <t>সফর</t>
  </si>
  <si>
    <t>রবিউল আঃ</t>
  </si>
  <si>
    <t>রবিউস সানিঃ</t>
  </si>
  <si>
    <t>জুমাদাল উলা</t>
  </si>
  <si>
    <t>জুমাদাল আখেরা</t>
  </si>
  <si>
    <t>রামযান</t>
  </si>
  <si>
    <t>আনোয়ার</t>
  </si>
  <si>
    <t>বিশাল থাই</t>
  </si>
  <si>
    <t>কামাল সিমেন্ট</t>
  </si>
  <si>
    <t>বন্ধু ট্রেডার্স</t>
  </si>
  <si>
    <t>মা হার্ডওয়ার</t>
  </si>
  <si>
    <t>ঊষা স্যানেটারি</t>
  </si>
  <si>
    <t>তারিখ</t>
  </si>
  <si>
    <t xml:space="preserve"> খাত</t>
  </si>
  <si>
    <t>বিবরণ</t>
  </si>
  <si>
    <t>মাপ</t>
  </si>
  <si>
    <t>মূল্য</t>
  </si>
  <si>
    <t>বাকি</t>
  </si>
  <si>
    <t>সরবরাহকারি</t>
  </si>
  <si>
    <t>রশিদ নং</t>
  </si>
  <si>
    <t>টাইলস মিস্ত্রি</t>
  </si>
  <si>
    <t>সিমেন্ট</t>
  </si>
  <si>
    <t>রামাযান</t>
  </si>
  <si>
    <t>বিভিন্ন স্থানে বকেয়া ও অর্থ পরিশোধের হিসাব</t>
  </si>
  <si>
    <t>মোট</t>
  </si>
  <si>
    <t>আদায়</t>
  </si>
  <si>
    <t>অনাদায়</t>
  </si>
  <si>
    <t>স্থান</t>
  </si>
  <si>
    <t>রশিদ</t>
  </si>
  <si>
    <t>কাঠ</t>
  </si>
  <si>
    <t xml:space="preserve"> </t>
  </si>
  <si>
    <t>তামীরাত - ১৪৪৭/৪৮ হিজরী</t>
  </si>
  <si>
    <t>বেলাল আলীপুর</t>
  </si>
  <si>
    <t>মোট হিসাব</t>
  </si>
  <si>
    <t>খরচ</t>
  </si>
  <si>
    <t>ভাড়া</t>
  </si>
  <si>
    <t xml:space="preserve">মোট </t>
  </si>
  <si>
    <t>৫” টলির চাকা</t>
  </si>
  <si>
    <t>৪” টলির চাকা</t>
  </si>
  <si>
    <t>ফম ডিক্স</t>
  </si>
  <si>
    <t>ওয়েল্ডিং রং</t>
  </si>
  <si>
    <t xml:space="preserve">মিস্ত্রি </t>
  </si>
  <si>
    <t>সহকারী</t>
  </si>
  <si>
    <t>মোট অনাদায়</t>
  </si>
  <si>
    <t>মক্তব এবং বিদুতিকার টিন+এঙ্গেল</t>
  </si>
  <si>
    <t>মিস্ত্রি খরচ</t>
  </si>
  <si>
    <t>বিভিন্ন সামান</t>
  </si>
  <si>
    <t>মক্তবের সুন্দুকের বোর্ড</t>
  </si>
  <si>
    <t>মক্তবের সুন্দুক</t>
  </si>
  <si>
    <t xml:space="preserve">বেসিন </t>
  </si>
  <si>
    <t>জাহিদ</t>
  </si>
  <si>
    <t>লেভার খরচ</t>
  </si>
  <si>
    <t>জাওয়াল সঞ্চয়</t>
  </si>
  <si>
    <t>শমিকদের ভাড়া</t>
  </si>
  <si>
    <t>সুপার ষ্টার পাখা</t>
  </si>
  <si>
    <t>সাদ</t>
  </si>
  <si>
    <t>তার</t>
  </si>
  <si>
    <t>মাধ্যম</t>
  </si>
  <si>
    <t>বেসিনের মিস্ত্রি</t>
  </si>
  <si>
    <t>বেসিনের সামান</t>
  </si>
  <si>
    <t>তাক প্রস্তুত</t>
  </si>
  <si>
    <t>আবুল মনসুর</t>
  </si>
  <si>
    <t>কাঠ মিস্ত্রি</t>
  </si>
  <si>
    <t>বুক সেলফ</t>
  </si>
  <si>
    <t>তাকের সামান</t>
  </si>
  <si>
    <t xml:space="preserve"> পাইপ মিস্ত্রি</t>
  </si>
  <si>
    <t>রাজ মিস্ত্রি</t>
  </si>
  <si>
    <t>এস এস সামানের ভাড়া</t>
  </si>
  <si>
    <t>পাইপ মিস্ত্রি</t>
  </si>
  <si>
    <t>ভাড়া+বকশিশ</t>
  </si>
  <si>
    <t>সামান আনার ভাড়া</t>
  </si>
  <si>
    <t>তালা</t>
  </si>
  <si>
    <t>বাঁশ</t>
  </si>
  <si>
    <t>নগদ</t>
  </si>
  <si>
    <t>নগদ খরচ</t>
  </si>
  <si>
    <t>বকেয়া আদায়</t>
  </si>
  <si>
    <t>তারকাটা</t>
  </si>
  <si>
    <t>সেলো মেশিন মেরামত</t>
  </si>
  <si>
    <t>যিলকদ</t>
  </si>
  <si>
    <t>বিদুৎমিস্ত্রি</t>
  </si>
  <si>
    <t>মিস্ত্রি</t>
  </si>
  <si>
    <t>রাতে মিস্ত্রি</t>
  </si>
  <si>
    <t>যিম্মাদার হুজুর</t>
  </si>
  <si>
    <t>এস এস সামান</t>
  </si>
  <si>
    <t>এম এস সামান</t>
  </si>
  <si>
    <t>যিলকাদ</t>
  </si>
  <si>
    <t>বিদুৎমিস্ত্রি রাতে</t>
  </si>
  <si>
    <t>সহকারী রাতে</t>
  </si>
  <si>
    <t>মাতবাখের চুলা</t>
  </si>
  <si>
    <t>শ্রমিক+বকশিশ</t>
  </si>
  <si>
    <t>ইনভাটার মেরামত</t>
  </si>
  <si>
    <t>রং মিস্ত্রি</t>
  </si>
  <si>
    <t>সহকারি</t>
  </si>
  <si>
    <t>সিমেন্ট আনার ভাড়া</t>
  </si>
  <si>
    <t>মক্তবের থাইয়ের কাজ</t>
  </si>
  <si>
    <t>বিভিন্ন স্থানে থাইয়ের কাজ</t>
  </si>
  <si>
    <t>মেলাইন বোর্ডের কাজ</t>
  </si>
  <si>
    <t>জুতার সুন্দুক</t>
  </si>
  <si>
    <t>মাকতাবার দরজা</t>
  </si>
  <si>
    <t>টেবিল</t>
  </si>
  <si>
    <t>সিটকানি</t>
  </si>
  <si>
    <t>বোর্ড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</si>
</sst>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6" formatCode="_-* #,##0_-;\-* #,##0_-;_-* &quot;-&quot;??_-;_-@_-"/>
    <numFmt numFmtId="167" formatCode="[$-1170000]B2dd/mm/yy;@"/>
    <numFmt numFmtId="168" formatCode="d/m/yy;@"/>
    <numFmt numFmtId="169" formatCode="_(* #,##0_);_(* \(#,##0\);_(* &quot;-&quot;??_);_(@_)"/>
    <numFmt numFmtId="170" formatCode="[$-1170000]B2dd/mm/yyyy;@"/>
    <numFmt numFmtId="171" formatCode="[$-1170000]B2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SolaimanLipi"/>
      <family val="4"/>
    </font>
    <font>
      <sz val="11"/>
      <color theme="1"/>
      <name val="SolaimanLipi"/>
      <family val="4"/>
    </font>
    <font>
      <sz val="22"/>
      <color theme="1"/>
      <name val="SolaimanLipi"/>
      <family val="4"/>
    </font>
    <font>
      <sz val="11"/>
      <color rgb="FF00B050"/>
      <name val="SolaimanLipi"/>
      <family val="4"/>
    </font>
    <font>
      <sz val="11"/>
      <color theme="1"/>
      <name val="AF_Diwani"/>
      <family val="2"/>
      <charset val="1"/>
    </font>
    <font>
      <sz val="11"/>
      <color theme="1"/>
      <name val="SutonnyMJ"/>
    </font>
    <font>
      <sz val="11"/>
      <name val="SolaimanLipi"/>
      <family val="4"/>
    </font>
    <font>
      <sz val="11"/>
      <name val="Calibri"/>
      <family val="2"/>
      <scheme val="minor"/>
    </font>
    <font>
      <sz val="14"/>
      <color rgb="FFFF0000"/>
      <name val="SolaimanLipi"/>
      <family val="4"/>
    </font>
    <font>
      <sz val="11"/>
      <color theme="1"/>
      <name val="AF_Diwani"/>
      <family val="2"/>
      <charset val="178"/>
    </font>
    <font>
      <sz val="18"/>
      <color theme="1"/>
      <name val="SolaimanLipi"/>
      <family val="4"/>
    </font>
    <font>
      <sz val="16"/>
      <color rgb="FF00B050"/>
      <name val="SolaimanLipi"/>
      <family val="4"/>
    </font>
    <font>
      <sz val="12"/>
      <color theme="1"/>
      <name val="SolaimanLipi"/>
      <family val="4"/>
    </font>
    <font>
      <sz val="14"/>
      <color theme="1"/>
      <name val="SolaimanLipi"/>
      <family val="4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SolaimanLipi"/>
      <family val="4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13" fillId="0" borderId="0"/>
    <xf numFmtId="0" fontId="3" fillId="0" borderId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3" fontId="5" fillId="0" borderId="0" xfId="0" applyNumberFormat="1" applyFont="1"/>
    <xf numFmtId="166" fontId="5" fillId="0" borderId="0" xfId="1" applyNumberFormat="1" applyFont="1"/>
    <xf numFmtId="166" fontId="0" fillId="0" borderId="0" xfId="1" applyNumberFormat="1" applyFont="1"/>
    <xf numFmtId="3" fontId="7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166" fontId="0" fillId="0" borderId="0" xfId="1" applyNumberFormat="1" applyFont="1" applyAlignment="1">
      <alignment horizontal="right"/>
    </xf>
    <xf numFmtId="166" fontId="4" fillId="0" borderId="0" xfId="1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0" fillId="0" borderId="0" xfId="0" applyNumberFormat="1"/>
    <xf numFmtId="3" fontId="2" fillId="0" borderId="0" xfId="0" applyNumberFormat="1" applyFont="1"/>
    <xf numFmtId="167" fontId="9" fillId="0" borderId="1" xfId="3" applyNumberFormat="1" applyFont="1" applyBorder="1" applyAlignment="1">
      <alignment horizontal="center"/>
    </xf>
    <xf numFmtId="168" fontId="9" fillId="0" borderId="1" xfId="3" applyNumberFormat="1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166" fontId="11" fillId="0" borderId="0" xfId="1" applyNumberFormat="1" applyFont="1"/>
    <xf numFmtId="166" fontId="10" fillId="0" borderId="0" xfId="1" applyNumberFormat="1" applyFont="1" applyAlignment="1">
      <alignment horizontal="center"/>
    </xf>
    <xf numFmtId="0" fontId="5" fillId="0" borderId="0" xfId="0" applyFont="1" applyAlignment="1">
      <alignment horizontal="left"/>
    </xf>
    <xf numFmtId="166" fontId="0" fillId="0" borderId="0" xfId="0" applyNumberFormat="1"/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6" fontId="1" fillId="0" borderId="0" xfId="1" applyNumberFormat="1" applyFont="1" applyBorder="1" applyAlignment="1"/>
    <xf numFmtId="166" fontId="1" fillId="0" borderId="0" xfId="1" applyNumberFormat="1" applyFont="1" applyBorder="1"/>
    <xf numFmtId="14" fontId="0" fillId="0" borderId="0" xfId="0" applyNumberFormat="1"/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3" fontId="1" fillId="0" borderId="0" xfId="1" applyNumberFormat="1" applyFont="1" applyBorder="1" applyAlignment="1">
      <alignment horizontal="right"/>
    </xf>
    <xf numFmtId="3" fontId="1" fillId="0" borderId="0" xfId="1" applyNumberFormat="1" applyFont="1" applyFill="1" applyBorder="1" applyAlignment="1">
      <alignment horizontal="right"/>
    </xf>
    <xf numFmtId="166" fontId="1" fillId="0" borderId="0" xfId="1" applyNumberFormat="1" applyFont="1" applyFill="1" applyBorder="1"/>
    <xf numFmtId="169" fontId="0" fillId="0" borderId="0" xfId="6" applyNumberFormat="1" applyFont="1"/>
    <xf numFmtId="0" fontId="14" fillId="0" borderId="2" xfId="0" applyFont="1" applyBorder="1" applyAlignment="1">
      <alignment vertical="center" wrapText="1"/>
    </xf>
    <xf numFmtId="0" fontId="2" fillId="0" borderId="0" xfId="0" applyFont="1"/>
    <xf numFmtId="0" fontId="14" fillId="0" borderId="0" xfId="0" applyFont="1" applyAlignment="1">
      <alignment vertical="center" wrapText="1"/>
    </xf>
    <xf numFmtId="169" fontId="0" fillId="0" borderId="0" xfId="6" applyNumberFormat="1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18" fillId="2" borderId="0" xfId="0" applyFont="1" applyFill="1"/>
    <xf numFmtId="166" fontId="18" fillId="2" borderId="0" xfId="0" applyNumberFormat="1" applyFont="1" applyFill="1"/>
    <xf numFmtId="0" fontId="16" fillId="0" borderId="0" xfId="0" applyFont="1" applyAlignment="1">
      <alignment horizontal="center"/>
    </xf>
    <xf numFmtId="166" fontId="19" fillId="0" borderId="0" xfId="1" applyNumberFormat="1" applyFont="1" applyBorder="1"/>
    <xf numFmtId="0" fontId="16" fillId="0" borderId="0" xfId="0" applyFont="1" applyAlignment="1">
      <alignment horizontal="center" vertical="center"/>
    </xf>
    <xf numFmtId="169" fontId="19" fillId="0" borderId="0" xfId="6" applyNumberFormat="1" applyFont="1"/>
    <xf numFmtId="169" fontId="19" fillId="0" borderId="0" xfId="6" applyNumberFormat="1" applyFont="1" applyBorder="1" applyAlignment="1"/>
    <xf numFmtId="169" fontId="14" fillId="0" borderId="0" xfId="6" applyNumberFormat="1" applyFont="1" applyBorder="1" applyAlignment="1">
      <alignment vertical="center" wrapText="1"/>
    </xf>
    <xf numFmtId="169" fontId="14" fillId="0" borderId="0" xfId="6" applyNumberFormat="1" applyFont="1" applyAlignment="1">
      <alignment horizontal="center" vertical="center" wrapText="1"/>
    </xf>
    <xf numFmtId="169" fontId="5" fillId="0" borderId="0" xfId="6" applyNumberFormat="1" applyFont="1" applyAlignment="1">
      <alignment horizontal="center" vertical="center" wrapText="1"/>
    </xf>
    <xf numFmtId="169" fontId="6" fillId="0" borderId="0" xfId="6" applyNumberFormat="1" applyFont="1" applyAlignment="1">
      <alignment vertical="center"/>
    </xf>
    <xf numFmtId="169" fontId="4" fillId="0" borderId="0" xfId="6" applyNumberFormat="1" applyFont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0" fillId="3" borderId="3" xfId="0" applyFill="1" applyBorder="1"/>
    <xf numFmtId="169" fontId="0" fillId="3" borderId="3" xfId="6" applyNumberFormat="1" applyFont="1" applyFill="1" applyBorder="1"/>
    <xf numFmtId="169" fontId="0" fillId="0" borderId="0" xfId="6" applyNumberFormat="1" applyFont="1" applyFill="1"/>
    <xf numFmtId="169" fontId="5" fillId="0" borderId="0" xfId="6" applyNumberFormat="1" applyFont="1" applyFill="1" applyAlignment="1">
      <alignment horizontal="center"/>
    </xf>
    <xf numFmtId="0" fontId="0" fillId="0" borderId="4" xfId="0" applyBorder="1"/>
    <xf numFmtId="0" fontId="5" fillId="0" borderId="4" xfId="0" applyFont="1" applyBorder="1"/>
    <xf numFmtId="169" fontId="0" fillId="0" borderId="4" xfId="6" applyNumberFormat="1" applyFont="1" applyBorder="1"/>
    <xf numFmtId="166" fontId="0" fillId="0" borderId="4" xfId="1" applyNumberFormat="1" applyFont="1" applyBorder="1"/>
    <xf numFmtId="166" fontId="0" fillId="0" borderId="0" xfId="1" applyNumberFormat="1" applyFont="1" applyFill="1"/>
    <xf numFmtId="171" fontId="0" fillId="0" borderId="0" xfId="0" applyNumberFormat="1"/>
    <xf numFmtId="170" fontId="0" fillId="0" borderId="0" xfId="0" applyNumberFormat="1"/>
    <xf numFmtId="3" fontId="15" fillId="0" borderId="0" xfId="0" applyNumberFormat="1" applyFont="1" applyAlignment="1">
      <alignment horizontal="center"/>
    </xf>
    <xf numFmtId="169" fontId="0" fillId="0" borderId="0" xfId="6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166" fontId="20" fillId="0" borderId="0" xfId="1" applyNumberFormat="1" applyFont="1" applyAlignment="1">
      <alignment horizontal="center" vertical="center"/>
    </xf>
    <xf numFmtId="3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166" fontId="12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69" fontId="19" fillId="0" borderId="0" xfId="6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70" fontId="0" fillId="0" borderId="4" xfId="0" applyNumberFormat="1" applyBorder="1"/>
  </cellXfs>
  <cellStyles count="7">
    <cellStyle name="Comma" xfId="6" builtinId="3"/>
    <cellStyle name="Comma 2" xfId="5" xr:uid="{00000000-0005-0000-0000-000001000000}"/>
    <cellStyle name="Comma 3" xfId="1" xr:uid="{00000000-0005-0000-0000-000002000000}"/>
    <cellStyle name="Normal" xfId="0" builtinId="0"/>
    <cellStyle name="Normal 2" xfId="4" xr:uid="{00000000-0005-0000-0000-000004000000}"/>
    <cellStyle name="Normal 2 2" xfId="3" xr:uid="{00000000-0005-0000-0000-000005000000}"/>
    <cellStyle name="Normal 4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116"/>
  <sheetViews>
    <sheetView tabSelected="1" topLeftCell="C1" workbookViewId="0">
      <selection activeCell="C7" sqref="C7:C8"/>
    </sheetView>
  </sheetViews>
  <sheetFormatPr defaultRowHeight="15" x14ac:dyDescent="0.25"/>
  <cols>
    <col min="1" max="1" width="4.42578125" customWidth="1"/>
    <col min="2" max="2" width="11.42578125" customWidth="1"/>
    <col min="3" max="3" width="9.5703125" bestFit="1" customWidth="1"/>
    <col min="4" max="4" width="12.7109375" customWidth="1"/>
    <col min="5" max="5" width="12.42578125" customWidth="1"/>
    <col min="6" max="6" width="6.7109375" customWidth="1"/>
    <col min="11" max="11" width="14.28515625" customWidth="1"/>
    <col min="14" max="14" width="11.140625" customWidth="1"/>
    <col min="15" max="15" width="6.42578125" customWidth="1"/>
    <col min="16" max="16" width="19.85546875" customWidth="1"/>
    <col min="17" max="17" width="17.5703125" customWidth="1"/>
    <col min="19" max="19" width="11.140625" bestFit="1" customWidth="1"/>
    <col min="22" max="22" width="17.7109375" customWidth="1"/>
    <col min="23" max="23" width="17.85546875" customWidth="1"/>
  </cols>
  <sheetData>
    <row r="1" spans="2:23" ht="41.45" customHeight="1" x14ac:dyDescent="0.35">
      <c r="F1" s="4"/>
      <c r="G1" s="4" t="s">
        <v>0</v>
      </c>
      <c r="H1" s="3"/>
      <c r="P1" s="1" t="s">
        <v>2</v>
      </c>
      <c r="Q1" s="6">
        <f>-I6</f>
        <v>360353</v>
      </c>
      <c r="R1" s="9"/>
      <c r="S1" s="71" t="s">
        <v>92</v>
      </c>
      <c r="T1" s="71"/>
      <c r="V1" s="9"/>
      <c r="W1" s="5"/>
    </row>
    <row r="2" spans="2:23" x14ac:dyDescent="0.25">
      <c r="L2" s="1" t="s">
        <v>1</v>
      </c>
      <c r="M2" s="6"/>
      <c r="N2" s="39">
        <f>SUM(খরচ!N2)</f>
        <v>78205</v>
      </c>
      <c r="P2" s="1" t="s">
        <v>5</v>
      </c>
      <c r="Q2" s="6">
        <f>SUM(বকেয়া!$K$1)</f>
        <v>405678</v>
      </c>
      <c r="S2" s="72">
        <f>SUM(খরচ!AA3)</f>
        <v>234675</v>
      </c>
      <c r="T2" s="72"/>
      <c r="V2" s="9"/>
      <c r="W2" s="8"/>
    </row>
    <row r="3" spans="2:23" ht="18.75" x14ac:dyDescent="0.3">
      <c r="F3" s="78" t="s">
        <v>3</v>
      </c>
      <c r="G3" s="78"/>
      <c r="L3" s="1" t="s">
        <v>4</v>
      </c>
      <c r="M3" s="6"/>
      <c r="N3" s="39">
        <f>SUM(খরচ!N3)</f>
        <v>22594</v>
      </c>
      <c r="P3" s="73" t="s">
        <v>7</v>
      </c>
      <c r="Q3" s="74">
        <f>Q2-Q1</f>
        <v>45325</v>
      </c>
      <c r="S3" s="79" t="s">
        <v>93</v>
      </c>
      <c r="T3" s="79"/>
    </row>
    <row r="4" spans="2:23" ht="15.75" x14ac:dyDescent="0.25">
      <c r="F4" s="75">
        <f>SUM(D:D)</f>
        <v>400000</v>
      </c>
      <c r="G4" s="76"/>
      <c r="H4" s="9"/>
      <c r="I4" s="9"/>
      <c r="J4" s="9"/>
      <c r="L4" s="1" t="s">
        <v>6</v>
      </c>
      <c r="M4" s="6"/>
      <c r="N4" s="39">
        <f>SUM(খরচ!N4)</f>
        <v>245413</v>
      </c>
      <c r="P4" s="73"/>
      <c r="Q4" s="74"/>
      <c r="S4" s="80">
        <f>SUM(বকেয়া!C11:C230)</f>
        <v>120000</v>
      </c>
      <c r="T4" s="80"/>
    </row>
    <row r="5" spans="2:23" x14ac:dyDescent="0.25">
      <c r="F5" s="78" t="s">
        <v>8</v>
      </c>
      <c r="G5" s="78"/>
      <c r="I5" s="78" t="s">
        <v>9</v>
      </c>
      <c r="J5" s="78"/>
    </row>
    <row r="6" spans="2:23" ht="18.75" x14ac:dyDescent="0.3">
      <c r="B6" s="9" t="s">
        <v>10</v>
      </c>
      <c r="C6" s="2" t="s">
        <v>11</v>
      </c>
      <c r="D6" s="12" t="s">
        <v>12</v>
      </c>
      <c r="E6" s="2" t="s">
        <v>13</v>
      </c>
      <c r="F6" s="75">
        <f>SUM(খরচ!I2)</f>
        <v>760353</v>
      </c>
      <c r="G6" s="75"/>
      <c r="I6" s="77">
        <f>F4-F6</f>
        <v>-360353</v>
      </c>
      <c r="J6" s="77"/>
    </row>
    <row r="7" spans="2:23" x14ac:dyDescent="0.25">
      <c r="B7" t="s">
        <v>103</v>
      </c>
      <c r="C7" s="31">
        <v>46138</v>
      </c>
      <c r="D7" s="7">
        <v>100000</v>
      </c>
      <c r="E7" s="1" t="s">
        <v>100</v>
      </c>
    </row>
    <row r="8" spans="2:23" x14ac:dyDescent="0.25">
      <c r="B8" t="s">
        <v>103</v>
      </c>
      <c r="C8" s="31">
        <v>46139</v>
      </c>
      <c r="D8" s="7">
        <v>300000</v>
      </c>
      <c r="E8" s="1" t="s">
        <v>100</v>
      </c>
    </row>
    <row r="9" spans="2:23" x14ac:dyDescent="0.25">
      <c r="B9" t="s">
        <v>14</v>
      </c>
      <c r="D9" s="7"/>
      <c r="E9" s="1"/>
    </row>
    <row r="10" spans="2:23" x14ac:dyDescent="0.25">
      <c r="B10" t="s">
        <v>15</v>
      </c>
      <c r="D10" s="7"/>
    </row>
    <row r="11" spans="2:23" x14ac:dyDescent="0.25">
      <c r="B11" t="s">
        <v>15</v>
      </c>
      <c r="D11" s="7"/>
    </row>
    <row r="12" spans="2:23" x14ac:dyDescent="0.25">
      <c r="B12" t="s">
        <v>15</v>
      </c>
      <c r="D12" s="11"/>
    </row>
    <row r="13" spans="2:23" x14ac:dyDescent="0.25">
      <c r="B13" t="s">
        <v>15</v>
      </c>
      <c r="D13" s="7"/>
    </row>
    <row r="14" spans="2:23" x14ac:dyDescent="0.25">
      <c r="B14" t="s">
        <v>15</v>
      </c>
      <c r="D14" s="7"/>
    </row>
    <row r="15" spans="2:23" x14ac:dyDescent="0.25">
      <c r="B15" t="s">
        <v>15</v>
      </c>
      <c r="D15" s="7"/>
    </row>
    <row r="16" spans="2:23" x14ac:dyDescent="0.25">
      <c r="B16" t="s">
        <v>16</v>
      </c>
      <c r="D16" s="7"/>
    </row>
    <row r="17" spans="2:4" x14ac:dyDescent="0.25">
      <c r="B17" t="s">
        <v>16</v>
      </c>
      <c r="D17" s="7"/>
    </row>
    <row r="18" spans="2:4" x14ac:dyDescent="0.25">
      <c r="B18" t="s">
        <v>17</v>
      </c>
      <c r="D18" s="7"/>
    </row>
    <row r="19" spans="2:4" x14ac:dyDescent="0.25">
      <c r="B19" t="s">
        <v>17</v>
      </c>
      <c r="D19" s="7"/>
    </row>
    <row r="20" spans="2:4" x14ac:dyDescent="0.25">
      <c r="B20" t="s">
        <v>17</v>
      </c>
      <c r="D20" s="7"/>
    </row>
    <row r="21" spans="2:4" x14ac:dyDescent="0.25">
      <c r="B21" t="s">
        <v>18</v>
      </c>
      <c r="D21" s="7"/>
    </row>
    <row r="22" spans="2:4" x14ac:dyDescent="0.25">
      <c r="B22" t="s">
        <v>18</v>
      </c>
      <c r="D22" s="7"/>
    </row>
    <row r="23" spans="2:4" x14ac:dyDescent="0.25">
      <c r="B23" t="s">
        <v>18</v>
      </c>
      <c r="D23" s="7"/>
    </row>
    <row r="24" spans="2:4" x14ac:dyDescent="0.25">
      <c r="B24" t="s">
        <v>18</v>
      </c>
      <c r="D24" s="7"/>
    </row>
    <row r="25" spans="2:4" x14ac:dyDescent="0.25">
      <c r="B25" t="s">
        <v>19</v>
      </c>
      <c r="D25" s="7"/>
    </row>
    <row r="26" spans="2:4" x14ac:dyDescent="0.25">
      <c r="B26" s="13" t="s">
        <v>19</v>
      </c>
      <c r="D26" s="68"/>
    </row>
    <row r="27" spans="2:4" x14ac:dyDescent="0.25">
      <c r="B27" s="14" t="s">
        <v>20</v>
      </c>
      <c r="D27" s="7"/>
    </row>
    <row r="28" spans="2:4" x14ac:dyDescent="0.25">
      <c r="B28" s="14" t="s">
        <v>20</v>
      </c>
      <c r="D28" s="7"/>
    </row>
    <row r="29" spans="2:4" x14ac:dyDescent="0.25">
      <c r="B29" s="14" t="s">
        <v>21</v>
      </c>
      <c r="D29" s="7"/>
    </row>
    <row r="30" spans="2:4" x14ac:dyDescent="0.25">
      <c r="B30" s="10" t="s">
        <v>22</v>
      </c>
      <c r="D30" s="7"/>
    </row>
    <row r="31" spans="2:4" x14ac:dyDescent="0.25">
      <c r="B31" s="10" t="s">
        <v>23</v>
      </c>
      <c r="D31" s="7"/>
    </row>
    <row r="32" spans="2:4" x14ac:dyDescent="0.25">
      <c r="B32" s="10" t="s">
        <v>23</v>
      </c>
      <c r="D32" s="7"/>
    </row>
    <row r="33" spans="4:4" x14ac:dyDescent="0.25">
      <c r="D33" s="7"/>
    </row>
    <row r="34" spans="4:4" x14ac:dyDescent="0.25">
      <c r="D34" s="7"/>
    </row>
    <row r="35" spans="4:4" x14ac:dyDescent="0.25">
      <c r="D35" s="7"/>
    </row>
    <row r="36" spans="4:4" x14ac:dyDescent="0.25">
      <c r="D36" s="7"/>
    </row>
    <row r="37" spans="4:4" x14ac:dyDescent="0.25">
      <c r="D37" s="7"/>
    </row>
    <row r="38" spans="4:4" x14ac:dyDescent="0.25">
      <c r="D38" s="7"/>
    </row>
    <row r="39" spans="4:4" x14ac:dyDescent="0.25">
      <c r="D39" s="7"/>
    </row>
    <row r="40" spans="4:4" x14ac:dyDescent="0.25">
      <c r="D40" s="7"/>
    </row>
    <row r="41" spans="4:4" x14ac:dyDescent="0.25">
      <c r="D41" s="7"/>
    </row>
    <row r="42" spans="4:4" x14ac:dyDescent="0.25">
      <c r="D42" s="7"/>
    </row>
    <row r="43" spans="4:4" x14ac:dyDescent="0.25">
      <c r="D43" s="7"/>
    </row>
    <row r="44" spans="4:4" x14ac:dyDescent="0.25">
      <c r="D44" s="7"/>
    </row>
    <row r="45" spans="4:4" x14ac:dyDescent="0.25">
      <c r="D45" s="7"/>
    </row>
    <row r="46" spans="4:4" x14ac:dyDescent="0.25">
      <c r="D46" s="7"/>
    </row>
    <row r="47" spans="4:4" x14ac:dyDescent="0.25">
      <c r="D47" s="7"/>
    </row>
    <row r="48" spans="4:4" x14ac:dyDescent="0.25">
      <c r="D48" s="7"/>
    </row>
    <row r="49" spans="4:4" x14ac:dyDescent="0.25">
      <c r="D49" s="7"/>
    </row>
    <row r="50" spans="4:4" x14ac:dyDescent="0.25">
      <c r="D50" s="7"/>
    </row>
    <row r="51" spans="4:4" x14ac:dyDescent="0.25">
      <c r="D51" s="7"/>
    </row>
    <row r="52" spans="4:4" x14ac:dyDescent="0.25">
      <c r="D52" s="7"/>
    </row>
    <row r="53" spans="4:4" x14ac:dyDescent="0.25">
      <c r="D53" s="7"/>
    </row>
    <row r="54" spans="4:4" x14ac:dyDescent="0.25">
      <c r="D54" s="7"/>
    </row>
    <row r="55" spans="4:4" x14ac:dyDescent="0.25">
      <c r="D55" s="7"/>
    </row>
    <row r="56" spans="4:4" x14ac:dyDescent="0.25">
      <c r="D56" s="7"/>
    </row>
    <row r="57" spans="4:4" x14ac:dyDescent="0.25">
      <c r="D57" s="7"/>
    </row>
    <row r="58" spans="4:4" x14ac:dyDescent="0.25">
      <c r="D58" s="7"/>
    </row>
    <row r="59" spans="4:4" x14ac:dyDescent="0.25">
      <c r="D59" s="7"/>
    </row>
    <row r="60" spans="4:4" x14ac:dyDescent="0.25">
      <c r="D60" s="7"/>
    </row>
    <row r="61" spans="4:4" x14ac:dyDescent="0.25">
      <c r="D61" s="7"/>
    </row>
    <row r="62" spans="4:4" x14ac:dyDescent="0.25">
      <c r="D62" s="7"/>
    </row>
    <row r="63" spans="4:4" x14ac:dyDescent="0.25">
      <c r="D63" s="7"/>
    </row>
    <row r="64" spans="4:4" x14ac:dyDescent="0.25">
      <c r="D64" s="7"/>
    </row>
    <row r="65" spans="4:4" x14ac:dyDescent="0.25">
      <c r="D65" s="7"/>
    </row>
    <row r="66" spans="4:4" x14ac:dyDescent="0.25">
      <c r="D66" s="7"/>
    </row>
    <row r="67" spans="4:4" x14ac:dyDescent="0.25">
      <c r="D67" s="7"/>
    </row>
    <row r="68" spans="4:4" x14ac:dyDescent="0.25">
      <c r="D68" s="7"/>
    </row>
    <row r="69" spans="4:4" x14ac:dyDescent="0.25">
      <c r="D69" s="7"/>
    </row>
    <row r="70" spans="4:4" x14ac:dyDescent="0.25">
      <c r="D70" s="7"/>
    </row>
    <row r="71" spans="4:4" x14ac:dyDescent="0.25">
      <c r="D71" s="7"/>
    </row>
    <row r="72" spans="4:4" x14ac:dyDescent="0.25">
      <c r="D72" s="7"/>
    </row>
    <row r="73" spans="4:4" x14ac:dyDescent="0.25">
      <c r="D73" s="7"/>
    </row>
    <row r="74" spans="4:4" x14ac:dyDescent="0.25">
      <c r="D74" s="7"/>
    </row>
    <row r="75" spans="4:4" x14ac:dyDescent="0.25">
      <c r="D75" s="7"/>
    </row>
    <row r="76" spans="4:4" x14ac:dyDescent="0.25">
      <c r="D76" s="7"/>
    </row>
    <row r="77" spans="4:4" x14ac:dyDescent="0.25">
      <c r="D77" s="7"/>
    </row>
    <row r="78" spans="4:4" x14ac:dyDescent="0.25">
      <c r="D78" s="7"/>
    </row>
    <row r="79" spans="4:4" x14ac:dyDescent="0.25">
      <c r="D79" s="7"/>
    </row>
    <row r="80" spans="4:4" x14ac:dyDescent="0.25">
      <c r="D80" s="7"/>
    </row>
    <row r="81" spans="4:4" x14ac:dyDescent="0.25">
      <c r="D81" s="7"/>
    </row>
    <row r="82" spans="4:4" x14ac:dyDescent="0.25">
      <c r="D82" s="7"/>
    </row>
    <row r="83" spans="4:4" x14ac:dyDescent="0.25">
      <c r="D83" s="7"/>
    </row>
    <row r="84" spans="4:4" x14ac:dyDescent="0.25">
      <c r="D84" s="7"/>
    </row>
    <row r="85" spans="4:4" x14ac:dyDescent="0.25">
      <c r="D85" s="7"/>
    </row>
    <row r="86" spans="4:4" x14ac:dyDescent="0.25">
      <c r="D86" s="7"/>
    </row>
    <row r="87" spans="4:4" x14ac:dyDescent="0.25">
      <c r="D87" s="7"/>
    </row>
    <row r="88" spans="4:4" x14ac:dyDescent="0.25">
      <c r="D88" s="7"/>
    </row>
    <row r="89" spans="4:4" x14ac:dyDescent="0.25">
      <c r="D89" s="7"/>
    </row>
    <row r="90" spans="4:4" x14ac:dyDescent="0.25">
      <c r="D90" s="7"/>
    </row>
    <row r="91" spans="4:4" x14ac:dyDescent="0.25">
      <c r="D91" s="7"/>
    </row>
    <row r="92" spans="4:4" x14ac:dyDescent="0.25">
      <c r="D92" s="7"/>
    </row>
    <row r="93" spans="4:4" x14ac:dyDescent="0.25">
      <c r="D93" s="7"/>
    </row>
    <row r="94" spans="4:4" x14ac:dyDescent="0.25">
      <c r="D94" s="7"/>
    </row>
    <row r="95" spans="4:4" x14ac:dyDescent="0.25">
      <c r="D95" s="7"/>
    </row>
    <row r="96" spans="4:4" x14ac:dyDescent="0.25">
      <c r="D96" s="7"/>
    </row>
    <row r="97" spans="4:4" x14ac:dyDescent="0.25">
      <c r="D97" s="7"/>
    </row>
    <row r="98" spans="4:4" x14ac:dyDescent="0.25">
      <c r="D98" s="7"/>
    </row>
    <row r="99" spans="4:4" x14ac:dyDescent="0.25">
      <c r="D99" s="7"/>
    </row>
    <row r="100" spans="4:4" x14ac:dyDescent="0.25">
      <c r="D100" s="7"/>
    </row>
    <row r="101" spans="4:4" x14ac:dyDescent="0.25">
      <c r="D101" s="7"/>
    </row>
    <row r="102" spans="4:4" x14ac:dyDescent="0.25">
      <c r="D102" s="7"/>
    </row>
    <row r="103" spans="4:4" x14ac:dyDescent="0.25">
      <c r="D103" s="7"/>
    </row>
    <row r="104" spans="4:4" x14ac:dyDescent="0.25">
      <c r="D104" s="7"/>
    </row>
    <row r="105" spans="4:4" x14ac:dyDescent="0.25">
      <c r="D105" s="7"/>
    </row>
    <row r="106" spans="4:4" x14ac:dyDescent="0.25">
      <c r="D106" s="7"/>
    </row>
    <row r="107" spans="4:4" x14ac:dyDescent="0.25">
      <c r="D107" s="7"/>
    </row>
    <row r="108" spans="4:4" x14ac:dyDescent="0.25">
      <c r="D108" s="7"/>
    </row>
    <row r="109" spans="4:4" x14ac:dyDescent="0.25">
      <c r="D109" s="7"/>
    </row>
    <row r="110" spans="4:4" x14ac:dyDescent="0.25">
      <c r="D110" s="7"/>
    </row>
    <row r="111" spans="4:4" x14ac:dyDescent="0.25">
      <c r="D111" s="7"/>
    </row>
    <row r="112" spans="4:4" x14ac:dyDescent="0.25">
      <c r="D112" s="7"/>
    </row>
    <row r="113" spans="4:4" x14ac:dyDescent="0.25">
      <c r="D113" s="7"/>
    </row>
    <row r="114" spans="4:4" x14ac:dyDescent="0.25">
      <c r="D114" s="7"/>
    </row>
    <row r="115" spans="4:4" x14ac:dyDescent="0.25">
      <c r="D115" s="7"/>
    </row>
    <row r="116" spans="4:4" x14ac:dyDescent="0.25">
      <c r="D116" s="7"/>
    </row>
  </sheetData>
  <mergeCells count="12">
    <mergeCell ref="S1:T1"/>
    <mergeCell ref="S2:T2"/>
    <mergeCell ref="P3:P4"/>
    <mergeCell ref="Q3:Q4"/>
    <mergeCell ref="F6:G6"/>
    <mergeCell ref="F4:G4"/>
    <mergeCell ref="I6:J6"/>
    <mergeCell ref="F3:G3"/>
    <mergeCell ref="I5:J5"/>
    <mergeCell ref="F5:G5"/>
    <mergeCell ref="S3:T3"/>
    <mergeCell ref="S4:T4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97"/>
  <sheetViews>
    <sheetView workbookViewId="0">
      <pane ySplit="4" topLeftCell="A5" activePane="bottomLeft" state="frozen"/>
      <selection pane="bottomLeft" activeCell="B32" sqref="B32"/>
    </sheetView>
  </sheetViews>
  <sheetFormatPr defaultRowHeight="15" x14ac:dyDescent="0.25"/>
  <cols>
    <col min="2" max="2" width="10.85546875" customWidth="1"/>
    <col min="3" max="3" width="14.140625" customWidth="1"/>
    <col min="4" max="4" width="29.28515625" customWidth="1"/>
    <col min="7" max="7" width="10.140625" style="39" bestFit="1" customWidth="1"/>
    <col min="8" max="8" width="10.140625" customWidth="1"/>
    <col min="9" max="9" width="10.140625" bestFit="1" customWidth="1"/>
    <col min="10" max="10" width="15.85546875" customWidth="1"/>
    <col min="12" max="12" width="13.28515625" customWidth="1"/>
    <col min="13" max="13" width="13.7109375" customWidth="1"/>
    <col min="14" max="14" width="12.7109375" customWidth="1"/>
    <col min="15" max="15" width="16" customWidth="1"/>
    <col min="16" max="16" width="10.85546875" customWidth="1"/>
    <col min="19" max="19" width="10.28515625" customWidth="1"/>
    <col min="20" max="20" width="11.140625" customWidth="1"/>
    <col min="21" max="21" width="12.7109375" customWidth="1"/>
    <col min="22" max="22" width="12" customWidth="1"/>
    <col min="23" max="23" width="12.5703125" customWidth="1"/>
    <col min="24" max="24" width="13.85546875" customWidth="1"/>
    <col min="25" max="25" width="14" customWidth="1"/>
    <col min="26" max="26" width="11.7109375" customWidth="1"/>
    <col min="27" max="27" width="18.28515625" customWidth="1"/>
  </cols>
  <sheetData>
    <row r="1" spans="1:58" ht="19.899999999999999" customHeight="1" x14ac:dyDescent="0.3">
      <c r="L1" s="20"/>
      <c r="M1" s="21"/>
      <c r="N1" s="19"/>
      <c r="Q1" s="15"/>
      <c r="S1" s="41" t="s">
        <v>51</v>
      </c>
      <c r="T1" t="s">
        <v>35</v>
      </c>
      <c r="U1" s="41" t="s">
        <v>51</v>
      </c>
      <c r="V1" t="s">
        <v>35</v>
      </c>
      <c r="W1" s="41" t="s">
        <v>51</v>
      </c>
      <c r="X1" t="s">
        <v>35</v>
      </c>
      <c r="Y1" s="41" t="s">
        <v>51</v>
      </c>
      <c r="Z1" t="s">
        <v>35</v>
      </c>
      <c r="AA1" s="59" t="s">
        <v>91</v>
      </c>
      <c r="AT1" s="1"/>
      <c r="AU1" s="1"/>
      <c r="AX1" s="18"/>
      <c r="AZ1" s="1"/>
      <c r="BA1" s="1"/>
      <c r="BD1" s="1"/>
      <c r="BE1" s="1"/>
    </row>
    <row r="2" spans="1:58" x14ac:dyDescent="0.25">
      <c r="H2" t="s">
        <v>54</v>
      </c>
      <c r="I2" s="39">
        <f>SUM(H:H)</f>
        <v>760353</v>
      </c>
      <c r="M2" s="1" t="s">
        <v>1</v>
      </c>
      <c r="N2" s="43">
        <f>SUMIFS(H:H,C:C,M2)</f>
        <v>78205</v>
      </c>
      <c r="Q2" s="16"/>
      <c r="S2" t="s">
        <v>24</v>
      </c>
      <c r="T2" t="s">
        <v>24</v>
      </c>
      <c r="U2" s="9" t="s">
        <v>26</v>
      </c>
      <c r="V2" s="9" t="s">
        <v>26</v>
      </c>
      <c r="W2" s="16" t="s">
        <v>29</v>
      </c>
      <c r="X2" s="16" t="s">
        <v>29</v>
      </c>
      <c r="Y2" s="9" t="s">
        <v>28</v>
      </c>
      <c r="Z2" s="9" t="s">
        <v>28</v>
      </c>
      <c r="AA2" s="60"/>
      <c r="AP2" s="1"/>
      <c r="AQ2" s="1"/>
      <c r="AR2" s="1"/>
      <c r="AS2" s="6"/>
      <c r="AT2" s="1"/>
      <c r="AU2" s="1"/>
      <c r="AV2" s="1"/>
      <c r="AX2" s="18"/>
      <c r="AZ2" s="1"/>
      <c r="BA2" s="1"/>
      <c r="BB2" s="1"/>
      <c r="BD2" s="1"/>
      <c r="BE2" s="1"/>
      <c r="BF2" s="1"/>
    </row>
    <row r="3" spans="1:58" ht="28.5" x14ac:dyDescent="0.25">
      <c r="C3" s="4"/>
      <c r="D3" s="4" t="s">
        <v>49</v>
      </c>
      <c r="E3" s="22"/>
      <c r="F3" s="4"/>
      <c r="G3" s="57"/>
      <c r="M3" s="1" t="s">
        <v>4</v>
      </c>
      <c r="N3" s="43">
        <f>SUMIFS(H:H,C:C,M3)</f>
        <v>22594</v>
      </c>
      <c r="Q3" s="16"/>
      <c r="S3" s="62">
        <f>SUMIFS(H:H,J:J,S2)</f>
        <v>98072</v>
      </c>
      <c r="T3" s="9">
        <f>SUMIFS(I:I,J:J,T2)</f>
        <v>0</v>
      </c>
      <c r="U3" s="63">
        <f>SUMIFS(H:H,J:J,U2)</f>
        <v>7280</v>
      </c>
      <c r="V3" s="9">
        <f>SUMIFS(I:I,J:J,V2)</f>
        <v>0</v>
      </c>
      <c r="W3" s="16">
        <f>SUMIFS(H:H,J:J,W2)</f>
        <v>0</v>
      </c>
      <c r="X3" s="16">
        <f>SUMIFS(I:I,J:J,X2)</f>
        <v>0</v>
      </c>
      <c r="Y3" s="9">
        <f>SUMIFS(H:H,J:J,Y2)</f>
        <v>0</v>
      </c>
      <c r="Z3">
        <f>SUMIFS(I:I,J:J,Z2)</f>
        <v>0</v>
      </c>
      <c r="AA3" s="61">
        <f>SUMIFS(H:H,J:J,AA1)</f>
        <v>234675</v>
      </c>
      <c r="AS3" s="6"/>
      <c r="AT3" s="1"/>
      <c r="AU3" s="1"/>
      <c r="AZ3" s="1"/>
      <c r="BA3" s="1"/>
      <c r="BB3" s="1"/>
      <c r="BD3" s="16"/>
      <c r="BE3" s="16"/>
    </row>
    <row r="4" spans="1:58" ht="16.149999999999999" customHeight="1" x14ac:dyDescent="0.25">
      <c r="A4" s="2" t="s">
        <v>10</v>
      </c>
      <c r="B4" s="9" t="s">
        <v>30</v>
      </c>
      <c r="C4" s="2" t="s">
        <v>31</v>
      </c>
      <c r="D4" s="17" t="s">
        <v>32</v>
      </c>
      <c r="E4" s="2" t="s">
        <v>12</v>
      </c>
      <c r="F4" s="2" t="s">
        <v>33</v>
      </c>
      <c r="G4" s="58" t="s">
        <v>34</v>
      </c>
      <c r="H4" s="24" t="s">
        <v>52</v>
      </c>
      <c r="I4" s="24" t="s">
        <v>35</v>
      </c>
      <c r="J4" s="9" t="s">
        <v>36</v>
      </c>
      <c r="K4" s="16" t="s">
        <v>37</v>
      </c>
      <c r="L4" t="s">
        <v>75</v>
      </c>
      <c r="M4" s="1" t="s">
        <v>6</v>
      </c>
      <c r="N4" s="43">
        <f>SUMIFS(H:H,C:C,M4)</f>
        <v>245413</v>
      </c>
      <c r="S4" s="41" t="s">
        <v>51</v>
      </c>
      <c r="T4" t="s">
        <v>35</v>
      </c>
      <c r="U4" s="41" t="s">
        <v>51</v>
      </c>
      <c r="V4" t="s">
        <v>35</v>
      </c>
      <c r="W4" s="41" t="s">
        <v>51</v>
      </c>
      <c r="X4" t="s">
        <v>35</v>
      </c>
      <c r="Y4" s="41" t="s">
        <v>51</v>
      </c>
      <c r="Z4" t="s">
        <v>35</v>
      </c>
      <c r="AA4" s="60"/>
      <c r="AP4" s="1"/>
      <c r="AQ4" s="1"/>
      <c r="AR4" s="1"/>
      <c r="AS4" s="6"/>
      <c r="AT4" s="1"/>
      <c r="AU4" s="1"/>
      <c r="AV4" s="1"/>
      <c r="AZ4" s="1"/>
      <c r="BA4" s="1"/>
      <c r="BB4" s="1"/>
      <c r="BD4" s="1"/>
      <c r="BE4" s="1"/>
      <c r="BF4" s="1"/>
    </row>
    <row r="5" spans="1:58" x14ac:dyDescent="0.25">
      <c r="A5" s="1" t="s">
        <v>40</v>
      </c>
      <c r="C5" t="s">
        <v>6</v>
      </c>
      <c r="D5" s="1" t="s">
        <v>39</v>
      </c>
      <c r="E5">
        <v>14</v>
      </c>
      <c r="G5">
        <v>505</v>
      </c>
      <c r="H5">
        <v>7070</v>
      </c>
      <c r="J5" s="9" t="s">
        <v>26</v>
      </c>
      <c r="S5" s="9" t="s">
        <v>25</v>
      </c>
      <c r="T5" s="9" t="s">
        <v>25</v>
      </c>
      <c r="U5" s="9" t="s">
        <v>27</v>
      </c>
      <c r="V5" s="9" t="s">
        <v>27</v>
      </c>
      <c r="W5" s="16" t="s">
        <v>50</v>
      </c>
      <c r="X5" s="16" t="s">
        <v>50</v>
      </c>
      <c r="Y5" s="9" t="s">
        <v>80</v>
      </c>
      <c r="Z5" s="9" t="s">
        <v>80</v>
      </c>
    </row>
    <row r="6" spans="1:58" x14ac:dyDescent="0.25">
      <c r="A6" s="1" t="s">
        <v>40</v>
      </c>
      <c r="B6" s="31"/>
      <c r="D6" s="1" t="s">
        <v>53</v>
      </c>
      <c r="E6">
        <v>1</v>
      </c>
      <c r="G6"/>
      <c r="H6" s="7">
        <v>210</v>
      </c>
      <c r="J6" s="9" t="s">
        <v>26</v>
      </c>
      <c r="S6">
        <f>SUMIFS(H:H,J:J,S5)</f>
        <v>128980</v>
      </c>
      <c r="T6">
        <f>SUMIFS(I:I,J:J,T5)</f>
        <v>0</v>
      </c>
      <c r="U6" s="62">
        <f>SUMIFS(H:H,J:J,U5)</f>
        <v>138970</v>
      </c>
      <c r="V6">
        <f>SUMIFS(I:I,J:J,V5)</f>
        <v>0</v>
      </c>
      <c r="W6" s="62">
        <f>SUMIFS(H:H,J:J,W5)</f>
        <v>72476</v>
      </c>
      <c r="X6">
        <f>SUMIFS(I:I,J:J,X5)</f>
        <v>0</v>
      </c>
      <c r="Y6" s="39">
        <f>SUMIFS(H:H,J:J,Y5)</f>
        <v>79900</v>
      </c>
      <c r="Z6">
        <f>SUMIFS(I:I,J:J,Z5)</f>
        <v>0</v>
      </c>
    </row>
    <row r="7" spans="1:58" x14ac:dyDescent="0.25">
      <c r="A7" s="1" t="s">
        <v>40</v>
      </c>
      <c r="B7" s="31"/>
      <c r="C7" t="s">
        <v>6</v>
      </c>
      <c r="D7" s="1" t="s">
        <v>62</v>
      </c>
      <c r="G7"/>
      <c r="H7" s="7">
        <v>32381</v>
      </c>
      <c r="J7" s="9" t="s">
        <v>24</v>
      </c>
    </row>
    <row r="8" spans="1:58" x14ac:dyDescent="0.25">
      <c r="A8" s="1" t="s">
        <v>40</v>
      </c>
      <c r="B8" s="31"/>
      <c r="D8" s="1" t="s">
        <v>63</v>
      </c>
      <c r="G8"/>
      <c r="H8" s="7">
        <v>11100</v>
      </c>
      <c r="J8" s="9" t="s">
        <v>24</v>
      </c>
    </row>
    <row r="9" spans="1:58" x14ac:dyDescent="0.25">
      <c r="A9" s="1" t="s">
        <v>14</v>
      </c>
      <c r="B9" s="70">
        <v>46111</v>
      </c>
      <c r="D9" s="1" t="s">
        <v>55</v>
      </c>
      <c r="E9">
        <v>4</v>
      </c>
      <c r="G9">
        <v>5200</v>
      </c>
      <c r="H9" s="7">
        <v>5200</v>
      </c>
      <c r="J9" s="9" t="s">
        <v>24</v>
      </c>
    </row>
    <row r="10" spans="1:58" x14ac:dyDescent="0.25">
      <c r="A10" s="1" t="s">
        <v>14</v>
      </c>
      <c r="B10" s="70">
        <v>46111</v>
      </c>
      <c r="D10" s="1" t="s">
        <v>56</v>
      </c>
      <c r="E10">
        <v>8</v>
      </c>
      <c r="G10">
        <v>4350</v>
      </c>
      <c r="H10" s="7">
        <v>8700</v>
      </c>
      <c r="J10" s="9" t="s">
        <v>24</v>
      </c>
    </row>
    <row r="11" spans="1:58" x14ac:dyDescent="0.25">
      <c r="A11" s="1" t="s">
        <v>14</v>
      </c>
      <c r="B11" s="70">
        <v>46111</v>
      </c>
      <c r="D11" s="1" t="s">
        <v>57</v>
      </c>
      <c r="E11">
        <v>2</v>
      </c>
      <c r="G11">
        <v>45</v>
      </c>
      <c r="H11" s="7">
        <v>90</v>
      </c>
      <c r="J11" s="9" t="s">
        <v>24</v>
      </c>
    </row>
    <row r="12" spans="1:58" x14ac:dyDescent="0.25">
      <c r="A12" s="1" t="s">
        <v>14</v>
      </c>
      <c r="B12" s="70">
        <v>46111</v>
      </c>
      <c r="D12" s="1" t="s">
        <v>58</v>
      </c>
      <c r="E12">
        <v>10</v>
      </c>
      <c r="G12">
        <v>20</v>
      </c>
      <c r="H12" s="7">
        <v>200</v>
      </c>
      <c r="J12" s="9" t="s">
        <v>24</v>
      </c>
    </row>
    <row r="13" spans="1:58" x14ac:dyDescent="0.25">
      <c r="A13" s="1" t="s">
        <v>14</v>
      </c>
      <c r="B13" s="70">
        <v>46111</v>
      </c>
      <c r="D13" s="1" t="s">
        <v>59</v>
      </c>
      <c r="E13">
        <v>1</v>
      </c>
      <c r="G13"/>
      <c r="H13" s="7">
        <v>1200</v>
      </c>
      <c r="J13" s="9" t="s">
        <v>24</v>
      </c>
    </row>
    <row r="14" spans="1:58" x14ac:dyDescent="0.25">
      <c r="A14" s="1" t="s">
        <v>14</v>
      </c>
      <c r="B14" s="70">
        <v>46111</v>
      </c>
      <c r="D14" s="1" t="s">
        <v>60</v>
      </c>
      <c r="E14">
        <v>1</v>
      </c>
      <c r="G14"/>
      <c r="H14" s="7">
        <v>900</v>
      </c>
      <c r="J14" s="9" t="s">
        <v>24</v>
      </c>
    </row>
    <row r="15" spans="1:58" x14ac:dyDescent="0.25">
      <c r="A15" s="1" t="s">
        <v>14</v>
      </c>
      <c r="B15" s="70">
        <v>46120</v>
      </c>
      <c r="C15" t="s">
        <v>6</v>
      </c>
      <c r="D15" s="1" t="s">
        <v>65</v>
      </c>
      <c r="G15"/>
      <c r="H15" s="7">
        <v>19300</v>
      </c>
      <c r="J15" s="9" t="s">
        <v>27</v>
      </c>
      <c r="K15">
        <v>31</v>
      </c>
    </row>
    <row r="16" spans="1:58" x14ac:dyDescent="0.25">
      <c r="A16" s="1" t="s">
        <v>14</v>
      </c>
      <c r="B16" s="70">
        <v>46120</v>
      </c>
      <c r="C16" t="s">
        <v>6</v>
      </c>
      <c r="D16" s="1" t="s">
        <v>65</v>
      </c>
      <c r="G16"/>
      <c r="H16" s="7">
        <v>2700</v>
      </c>
      <c r="J16" s="9" t="s">
        <v>27</v>
      </c>
      <c r="K16">
        <v>31</v>
      </c>
    </row>
    <row r="17" spans="1:12" x14ac:dyDescent="0.25">
      <c r="A17" s="1" t="s">
        <v>14</v>
      </c>
      <c r="B17" s="70">
        <v>46120</v>
      </c>
      <c r="C17" t="s">
        <v>6</v>
      </c>
      <c r="D17" s="1" t="s">
        <v>66</v>
      </c>
      <c r="G17"/>
      <c r="H17" s="7">
        <v>112550</v>
      </c>
      <c r="J17" s="9" t="s">
        <v>27</v>
      </c>
      <c r="K17">
        <v>53</v>
      </c>
    </row>
    <row r="18" spans="1:12" x14ac:dyDescent="0.25">
      <c r="A18" s="1" t="s">
        <v>14</v>
      </c>
      <c r="B18" s="70">
        <v>46120</v>
      </c>
      <c r="D18" s="1" t="s">
        <v>64</v>
      </c>
      <c r="G18"/>
      <c r="H18" s="7">
        <v>9708</v>
      </c>
      <c r="J18" s="16" t="s">
        <v>50</v>
      </c>
      <c r="K18">
        <v>37</v>
      </c>
    </row>
    <row r="19" spans="1:12" x14ac:dyDescent="0.25">
      <c r="A19" s="1" t="s">
        <v>14</v>
      </c>
      <c r="B19" s="70">
        <v>46120</v>
      </c>
      <c r="D19" s="1" t="s">
        <v>64</v>
      </c>
      <c r="G19"/>
      <c r="H19" s="7">
        <v>5460</v>
      </c>
      <c r="J19" s="16" t="s">
        <v>50</v>
      </c>
      <c r="K19">
        <v>38</v>
      </c>
    </row>
    <row r="20" spans="1:12" x14ac:dyDescent="0.25">
      <c r="A20" s="1" t="s">
        <v>14</v>
      </c>
      <c r="B20" s="70">
        <v>46120</v>
      </c>
      <c r="D20" s="1" t="s">
        <v>64</v>
      </c>
      <c r="G20"/>
      <c r="H20" s="7">
        <v>15394</v>
      </c>
      <c r="J20" s="16" t="s">
        <v>50</v>
      </c>
      <c r="K20">
        <v>39</v>
      </c>
    </row>
    <row r="21" spans="1:12" x14ac:dyDescent="0.25">
      <c r="A21" s="1" t="s">
        <v>14</v>
      </c>
      <c r="B21" s="70">
        <v>46120</v>
      </c>
      <c r="D21" s="1" t="s">
        <v>64</v>
      </c>
      <c r="G21"/>
      <c r="H21" s="7">
        <v>6660</v>
      </c>
      <c r="J21" s="16" t="s">
        <v>50</v>
      </c>
      <c r="K21">
        <v>40</v>
      </c>
    </row>
    <row r="22" spans="1:12" x14ac:dyDescent="0.25">
      <c r="A22" s="1" t="s">
        <v>14</v>
      </c>
      <c r="B22" s="70">
        <v>46120</v>
      </c>
      <c r="D22" s="1" t="s">
        <v>64</v>
      </c>
      <c r="G22"/>
      <c r="H22" s="7">
        <v>3729</v>
      </c>
      <c r="J22" s="16" t="s">
        <v>50</v>
      </c>
      <c r="K22">
        <v>41</v>
      </c>
    </row>
    <row r="23" spans="1:12" x14ac:dyDescent="0.25">
      <c r="A23" s="1" t="s">
        <v>14</v>
      </c>
      <c r="B23" s="70">
        <v>46120</v>
      </c>
      <c r="D23" s="1" t="s">
        <v>64</v>
      </c>
      <c r="G23"/>
      <c r="H23" s="7">
        <v>18280</v>
      </c>
      <c r="J23" s="16" t="s">
        <v>50</v>
      </c>
      <c r="K23">
        <v>42</v>
      </c>
    </row>
    <row r="24" spans="1:12" x14ac:dyDescent="0.25">
      <c r="A24" s="1" t="s">
        <v>14</v>
      </c>
      <c r="B24" s="70">
        <v>46120</v>
      </c>
      <c r="C24" t="s">
        <v>1</v>
      </c>
      <c r="D24" s="25" t="s">
        <v>67</v>
      </c>
      <c r="H24" s="7">
        <v>37000</v>
      </c>
      <c r="J24" t="s">
        <v>91</v>
      </c>
      <c r="K24">
        <v>21</v>
      </c>
      <c r="L24" t="s">
        <v>68</v>
      </c>
    </row>
    <row r="25" spans="1:12" x14ac:dyDescent="0.25">
      <c r="A25" s="1" t="s">
        <v>14</v>
      </c>
      <c r="B25" s="70">
        <v>46120</v>
      </c>
      <c r="C25" t="s">
        <v>1</v>
      </c>
      <c r="D25" s="25" t="s">
        <v>67</v>
      </c>
      <c r="H25" s="7">
        <v>3140</v>
      </c>
      <c r="J25" t="s">
        <v>91</v>
      </c>
      <c r="K25">
        <v>22</v>
      </c>
      <c r="L25" t="s">
        <v>68</v>
      </c>
    </row>
    <row r="26" spans="1:12" x14ac:dyDescent="0.25">
      <c r="A26" s="1" t="s">
        <v>14</v>
      </c>
      <c r="B26" s="70">
        <v>46120</v>
      </c>
      <c r="C26" t="s">
        <v>1</v>
      </c>
      <c r="D26" s="25" t="s">
        <v>67</v>
      </c>
      <c r="H26" s="7">
        <v>8530</v>
      </c>
      <c r="J26" t="s">
        <v>91</v>
      </c>
      <c r="K26">
        <v>23</v>
      </c>
      <c r="L26" t="s">
        <v>68</v>
      </c>
    </row>
    <row r="27" spans="1:12" x14ac:dyDescent="0.25">
      <c r="A27" s="1" t="s">
        <v>14</v>
      </c>
      <c r="B27" s="70">
        <v>46120</v>
      </c>
      <c r="C27" t="s">
        <v>1</v>
      </c>
      <c r="D27" s="25" t="s">
        <v>67</v>
      </c>
      <c r="H27" s="7">
        <v>4000</v>
      </c>
      <c r="J27" t="s">
        <v>91</v>
      </c>
      <c r="K27">
        <v>24</v>
      </c>
      <c r="L27" t="s">
        <v>68</v>
      </c>
    </row>
    <row r="28" spans="1:12" x14ac:dyDescent="0.25">
      <c r="A28" s="1" t="s">
        <v>14</v>
      </c>
      <c r="B28" s="70">
        <v>46120</v>
      </c>
      <c r="C28" t="s">
        <v>1</v>
      </c>
      <c r="D28" s="25" t="s">
        <v>53</v>
      </c>
      <c r="E28">
        <v>1</v>
      </c>
      <c r="H28" s="7">
        <v>1470</v>
      </c>
      <c r="J28" t="s">
        <v>91</v>
      </c>
      <c r="L28" t="s">
        <v>68</v>
      </c>
    </row>
    <row r="29" spans="1:12" x14ac:dyDescent="0.25">
      <c r="A29" s="1" t="s">
        <v>14</v>
      </c>
      <c r="B29" s="70">
        <v>46120</v>
      </c>
      <c r="C29" t="s">
        <v>1</v>
      </c>
      <c r="D29" s="25" t="s">
        <v>69</v>
      </c>
      <c r="E29">
        <v>1</v>
      </c>
      <c r="G29" s="39">
        <v>550</v>
      </c>
      <c r="H29" s="7">
        <f>E29*G29</f>
        <v>550</v>
      </c>
      <c r="J29" t="s">
        <v>91</v>
      </c>
      <c r="L29" t="s">
        <v>68</v>
      </c>
    </row>
    <row r="30" spans="1:12" x14ac:dyDescent="0.25">
      <c r="A30" s="1" t="s">
        <v>14</v>
      </c>
      <c r="B30" s="70">
        <v>46120</v>
      </c>
      <c r="D30" s="25" t="s">
        <v>70</v>
      </c>
      <c r="E30">
        <v>1</v>
      </c>
      <c r="H30" s="7">
        <v>80</v>
      </c>
      <c r="J30" t="s">
        <v>91</v>
      </c>
      <c r="L30" t="s">
        <v>68</v>
      </c>
    </row>
    <row r="31" spans="1:12" x14ac:dyDescent="0.25">
      <c r="A31" s="1" t="s">
        <v>14</v>
      </c>
      <c r="B31" s="70">
        <v>46120</v>
      </c>
      <c r="D31" s="25" t="s">
        <v>71</v>
      </c>
      <c r="E31">
        <v>2</v>
      </c>
      <c r="H31" s="7">
        <v>100</v>
      </c>
      <c r="J31" t="s">
        <v>91</v>
      </c>
      <c r="L31" t="s">
        <v>68</v>
      </c>
    </row>
    <row r="32" spans="1:12" x14ac:dyDescent="0.25">
      <c r="A32" s="1" t="s">
        <v>14</v>
      </c>
      <c r="B32" s="70">
        <v>46120</v>
      </c>
      <c r="C32" t="s">
        <v>6</v>
      </c>
      <c r="D32" s="25" t="s">
        <v>72</v>
      </c>
      <c r="E32">
        <v>3</v>
      </c>
      <c r="G32" s="39">
        <v>3700</v>
      </c>
      <c r="H32" s="7">
        <f>E32*G32</f>
        <v>11100</v>
      </c>
      <c r="J32" t="s">
        <v>91</v>
      </c>
      <c r="L32" t="s">
        <v>73</v>
      </c>
    </row>
    <row r="33" spans="1:21" x14ac:dyDescent="0.25">
      <c r="A33" s="1" t="s">
        <v>14</v>
      </c>
      <c r="B33" s="70">
        <v>46120</v>
      </c>
      <c r="C33" t="s">
        <v>4</v>
      </c>
      <c r="D33" s="25" t="s">
        <v>74</v>
      </c>
      <c r="E33">
        <v>1</v>
      </c>
      <c r="G33" s="39">
        <v>9500</v>
      </c>
      <c r="H33" s="7">
        <f>E33*G33</f>
        <v>9500</v>
      </c>
      <c r="J33" t="s">
        <v>91</v>
      </c>
      <c r="L33" t="s">
        <v>73</v>
      </c>
    </row>
    <row r="34" spans="1:21" x14ac:dyDescent="0.25">
      <c r="A34" s="1" t="s">
        <v>14</v>
      </c>
      <c r="B34" s="70">
        <v>46121</v>
      </c>
      <c r="C34" t="s">
        <v>4</v>
      </c>
      <c r="D34" s="25" t="s">
        <v>77</v>
      </c>
      <c r="E34">
        <v>1</v>
      </c>
      <c r="G34"/>
      <c r="H34">
        <v>3514</v>
      </c>
      <c r="J34" s="9" t="s">
        <v>24</v>
      </c>
    </row>
    <row r="35" spans="1:21" x14ac:dyDescent="0.25">
      <c r="A35" s="1" t="s">
        <v>14</v>
      </c>
      <c r="B35" s="70">
        <v>46121</v>
      </c>
      <c r="C35" t="s">
        <v>4</v>
      </c>
      <c r="D35" s="25" t="s">
        <v>78</v>
      </c>
      <c r="G35">
        <v>5974</v>
      </c>
      <c r="H35">
        <v>2460</v>
      </c>
      <c r="J35" s="9" t="s">
        <v>24</v>
      </c>
    </row>
    <row r="36" spans="1:21" x14ac:dyDescent="0.25">
      <c r="A36" s="1" t="s">
        <v>14</v>
      </c>
      <c r="B36" s="70">
        <v>46121</v>
      </c>
      <c r="C36" t="s">
        <v>1</v>
      </c>
      <c r="D36" s="25" t="s">
        <v>76</v>
      </c>
      <c r="E36">
        <v>1</v>
      </c>
      <c r="G36"/>
      <c r="H36" s="7">
        <v>6300</v>
      </c>
      <c r="J36" s="9" t="s">
        <v>24</v>
      </c>
    </row>
    <row r="37" spans="1:21" x14ac:dyDescent="0.25">
      <c r="A37" s="1" t="s">
        <v>14</v>
      </c>
      <c r="B37" s="70">
        <v>46124</v>
      </c>
      <c r="C37" t="s">
        <v>4</v>
      </c>
      <c r="D37" s="25" t="s">
        <v>38</v>
      </c>
      <c r="E37">
        <v>1</v>
      </c>
      <c r="G37" s="39">
        <v>700</v>
      </c>
      <c r="H37" s="7">
        <f>E37*G37</f>
        <v>700</v>
      </c>
      <c r="J37" t="s">
        <v>91</v>
      </c>
      <c r="L37" t="s">
        <v>79</v>
      </c>
    </row>
    <row r="38" spans="1:21" x14ac:dyDescent="0.25">
      <c r="A38" s="1" t="s">
        <v>14</v>
      </c>
      <c r="B38" s="70">
        <v>46124</v>
      </c>
      <c r="C38" t="s">
        <v>1</v>
      </c>
      <c r="D38" s="25" t="s">
        <v>83</v>
      </c>
      <c r="H38" s="7">
        <v>1000</v>
      </c>
      <c r="J38" t="s">
        <v>91</v>
      </c>
      <c r="L38" t="s">
        <v>68</v>
      </c>
    </row>
    <row r="39" spans="1:21" x14ac:dyDescent="0.25">
      <c r="A39" s="1" t="s">
        <v>14</v>
      </c>
      <c r="B39" s="70">
        <v>46124</v>
      </c>
      <c r="C39" t="s">
        <v>6</v>
      </c>
      <c r="D39" s="25" t="s">
        <v>66</v>
      </c>
      <c r="E39">
        <v>10</v>
      </c>
      <c r="G39">
        <v>5000</v>
      </c>
      <c r="H39" s="7">
        <v>50000</v>
      </c>
      <c r="J39" s="16" t="s">
        <v>80</v>
      </c>
      <c r="U39" t="s">
        <v>48</v>
      </c>
    </row>
    <row r="40" spans="1:21" x14ac:dyDescent="0.25">
      <c r="A40" s="1" t="s">
        <v>14</v>
      </c>
      <c r="B40" s="70">
        <v>46124</v>
      </c>
      <c r="C40" t="s">
        <v>4</v>
      </c>
      <c r="D40" s="1" t="s">
        <v>81</v>
      </c>
      <c r="E40">
        <v>2</v>
      </c>
      <c r="G40">
        <v>1000</v>
      </c>
      <c r="H40" s="7">
        <v>2000</v>
      </c>
      <c r="J40" s="16" t="s">
        <v>80</v>
      </c>
    </row>
    <row r="41" spans="1:21" x14ac:dyDescent="0.25">
      <c r="A41" s="1" t="s">
        <v>14</v>
      </c>
      <c r="B41" s="70">
        <v>46126</v>
      </c>
      <c r="C41" t="s">
        <v>4</v>
      </c>
      <c r="D41" s="1" t="s">
        <v>82</v>
      </c>
      <c r="E41">
        <v>1</v>
      </c>
      <c r="G41"/>
      <c r="H41" s="7">
        <v>4420</v>
      </c>
      <c r="J41" s="9" t="s">
        <v>27</v>
      </c>
    </row>
    <row r="42" spans="1:21" x14ac:dyDescent="0.25">
      <c r="A42" s="1" t="s">
        <v>14</v>
      </c>
      <c r="B42" s="70">
        <v>46127</v>
      </c>
      <c r="D42" s="25" t="s">
        <v>83</v>
      </c>
      <c r="E42">
        <v>1</v>
      </c>
      <c r="H42" s="7">
        <v>500</v>
      </c>
      <c r="J42" t="s">
        <v>91</v>
      </c>
    </row>
    <row r="43" spans="1:21" x14ac:dyDescent="0.25">
      <c r="A43" s="1" t="s">
        <v>14</v>
      </c>
      <c r="B43" s="70">
        <v>46127</v>
      </c>
      <c r="D43" s="1" t="s">
        <v>84</v>
      </c>
      <c r="E43">
        <v>2</v>
      </c>
      <c r="G43" s="39">
        <v>900</v>
      </c>
      <c r="H43" s="7">
        <v>1800</v>
      </c>
      <c r="J43" t="s">
        <v>91</v>
      </c>
    </row>
    <row r="44" spans="1:21" x14ac:dyDescent="0.25">
      <c r="A44" s="1" t="s">
        <v>14</v>
      </c>
      <c r="B44" s="70">
        <v>46127</v>
      </c>
      <c r="D44" s="1" t="s">
        <v>60</v>
      </c>
      <c r="E44">
        <v>2</v>
      </c>
      <c r="G44" s="39">
        <v>700</v>
      </c>
      <c r="H44" s="7">
        <v>1400</v>
      </c>
      <c r="J44" t="s">
        <v>91</v>
      </c>
    </row>
    <row r="45" spans="1:21" x14ac:dyDescent="0.25">
      <c r="A45" s="1" t="s">
        <v>40</v>
      </c>
      <c r="B45" s="70">
        <v>46127</v>
      </c>
      <c r="D45" s="1" t="s">
        <v>53</v>
      </c>
      <c r="E45">
        <v>1</v>
      </c>
      <c r="H45" s="7">
        <v>320</v>
      </c>
      <c r="J45" t="s">
        <v>91</v>
      </c>
    </row>
    <row r="46" spans="1:21" x14ac:dyDescent="0.25">
      <c r="A46" s="1" t="s">
        <v>40</v>
      </c>
      <c r="B46" s="70">
        <v>46127</v>
      </c>
      <c r="D46" s="1" t="s">
        <v>85</v>
      </c>
      <c r="E46">
        <v>1</v>
      </c>
      <c r="G46" s="39">
        <v>500</v>
      </c>
      <c r="H46" s="7">
        <v>500</v>
      </c>
      <c r="J46" t="s">
        <v>91</v>
      </c>
    </row>
    <row r="47" spans="1:21" x14ac:dyDescent="0.25">
      <c r="A47" s="1" t="s">
        <v>14</v>
      </c>
      <c r="B47" s="70">
        <v>46127</v>
      </c>
      <c r="D47" s="1" t="s">
        <v>86</v>
      </c>
      <c r="E47">
        <v>2</v>
      </c>
      <c r="G47" s="39">
        <v>2000</v>
      </c>
      <c r="H47" s="7">
        <v>2000</v>
      </c>
      <c r="J47" t="s">
        <v>91</v>
      </c>
    </row>
    <row r="48" spans="1:21" x14ac:dyDescent="0.25">
      <c r="A48" t="s">
        <v>14</v>
      </c>
      <c r="B48" s="70">
        <v>46127</v>
      </c>
      <c r="D48" s="1" t="s">
        <v>86</v>
      </c>
      <c r="E48">
        <v>1</v>
      </c>
      <c r="H48" s="7">
        <v>300</v>
      </c>
      <c r="J48" t="s">
        <v>91</v>
      </c>
    </row>
    <row r="49" spans="1:12" x14ac:dyDescent="0.25">
      <c r="A49" t="s">
        <v>14</v>
      </c>
      <c r="B49" s="70">
        <v>46127</v>
      </c>
      <c r="D49" s="1" t="s">
        <v>84</v>
      </c>
      <c r="E49">
        <v>1</v>
      </c>
      <c r="G49" s="39">
        <v>900</v>
      </c>
      <c r="H49" s="7">
        <v>900</v>
      </c>
      <c r="J49" t="s">
        <v>91</v>
      </c>
    </row>
    <row r="50" spans="1:12" x14ac:dyDescent="0.25">
      <c r="A50" t="s">
        <v>14</v>
      </c>
      <c r="B50" s="70">
        <v>46127</v>
      </c>
      <c r="D50" s="1" t="s">
        <v>60</v>
      </c>
      <c r="E50">
        <v>1</v>
      </c>
      <c r="G50" s="39">
        <v>700</v>
      </c>
      <c r="H50" s="7">
        <v>700</v>
      </c>
      <c r="J50" t="s">
        <v>91</v>
      </c>
    </row>
    <row r="51" spans="1:12" x14ac:dyDescent="0.25">
      <c r="A51" t="s">
        <v>14</v>
      </c>
      <c r="B51" s="70">
        <v>46127</v>
      </c>
      <c r="D51" s="1" t="s">
        <v>53</v>
      </c>
      <c r="E51">
        <v>2</v>
      </c>
      <c r="G51" s="39">
        <v>80</v>
      </c>
      <c r="H51" s="7">
        <v>160</v>
      </c>
      <c r="J51" t="s">
        <v>91</v>
      </c>
    </row>
    <row r="52" spans="1:12" x14ac:dyDescent="0.25">
      <c r="A52" t="s">
        <v>14</v>
      </c>
      <c r="B52" s="70">
        <v>46128</v>
      </c>
      <c r="D52" s="1" t="s">
        <v>84</v>
      </c>
      <c r="E52">
        <v>1</v>
      </c>
      <c r="G52" s="39">
        <v>900</v>
      </c>
      <c r="H52" s="7">
        <v>900</v>
      </c>
      <c r="J52" t="s">
        <v>91</v>
      </c>
    </row>
    <row r="53" spans="1:12" x14ac:dyDescent="0.25">
      <c r="A53" t="s">
        <v>14</v>
      </c>
      <c r="B53" s="70">
        <v>46128</v>
      </c>
      <c r="D53" s="1" t="s">
        <v>60</v>
      </c>
      <c r="E53">
        <v>1</v>
      </c>
      <c r="G53" s="39">
        <v>700</v>
      </c>
      <c r="H53" s="7">
        <v>700</v>
      </c>
      <c r="J53" t="s">
        <v>91</v>
      </c>
    </row>
    <row r="54" spans="1:12" x14ac:dyDescent="0.25">
      <c r="A54" t="s">
        <v>14</v>
      </c>
      <c r="B54" s="70">
        <v>46128</v>
      </c>
      <c r="D54" s="1" t="s">
        <v>87</v>
      </c>
      <c r="E54">
        <v>1</v>
      </c>
      <c r="G54" s="39">
        <v>200</v>
      </c>
      <c r="H54" s="7">
        <v>200</v>
      </c>
      <c r="J54" t="s">
        <v>91</v>
      </c>
    </row>
    <row r="55" spans="1:12" x14ac:dyDescent="0.25">
      <c r="A55" t="s">
        <v>14</v>
      </c>
      <c r="B55" s="70">
        <v>46128</v>
      </c>
      <c r="D55" s="1" t="s">
        <v>86</v>
      </c>
      <c r="E55">
        <v>1</v>
      </c>
      <c r="G55" s="39">
        <v>11500</v>
      </c>
      <c r="H55" s="7">
        <v>11500</v>
      </c>
      <c r="J55" t="s">
        <v>91</v>
      </c>
      <c r="K55">
        <v>76</v>
      </c>
    </row>
    <row r="56" spans="1:12" x14ac:dyDescent="0.25">
      <c r="A56" t="s">
        <v>14</v>
      </c>
      <c r="B56" s="70">
        <v>46128</v>
      </c>
      <c r="D56" s="1" t="s">
        <v>88</v>
      </c>
      <c r="E56">
        <v>1</v>
      </c>
      <c r="G56" s="39">
        <v>400</v>
      </c>
      <c r="H56" s="7">
        <v>400</v>
      </c>
      <c r="J56" t="s">
        <v>91</v>
      </c>
    </row>
    <row r="57" spans="1:12" x14ac:dyDescent="0.25">
      <c r="A57" t="s">
        <v>14</v>
      </c>
      <c r="B57" s="70">
        <v>46128</v>
      </c>
      <c r="D57" t="s">
        <v>89</v>
      </c>
      <c r="H57" s="7">
        <v>20940</v>
      </c>
      <c r="J57" t="s">
        <v>91</v>
      </c>
      <c r="K57">
        <v>183</v>
      </c>
      <c r="L57" t="s">
        <v>73</v>
      </c>
    </row>
    <row r="58" spans="1:12" x14ac:dyDescent="0.25">
      <c r="A58" t="s">
        <v>14</v>
      </c>
      <c r="B58" s="70">
        <v>46128</v>
      </c>
      <c r="D58" t="s">
        <v>47</v>
      </c>
      <c r="H58" s="7">
        <v>1700</v>
      </c>
      <c r="J58" t="s">
        <v>91</v>
      </c>
      <c r="L58" t="s">
        <v>73</v>
      </c>
    </row>
    <row r="59" spans="1:12" x14ac:dyDescent="0.25">
      <c r="A59" t="s">
        <v>14</v>
      </c>
      <c r="B59" s="70">
        <v>46128</v>
      </c>
      <c r="D59" t="s">
        <v>90</v>
      </c>
      <c r="H59" s="7">
        <v>1500</v>
      </c>
      <c r="J59" t="s">
        <v>91</v>
      </c>
      <c r="L59" t="s">
        <v>73</v>
      </c>
    </row>
    <row r="60" spans="1:12" x14ac:dyDescent="0.25">
      <c r="A60" t="s">
        <v>14</v>
      </c>
      <c r="B60" s="70">
        <v>46130</v>
      </c>
      <c r="D60" s="1" t="s">
        <v>64</v>
      </c>
      <c r="E60">
        <v>1</v>
      </c>
      <c r="H60" s="7">
        <v>13245</v>
      </c>
      <c r="J60" s="16" t="s">
        <v>50</v>
      </c>
      <c r="K60">
        <v>204</v>
      </c>
    </row>
    <row r="61" spans="1:12" x14ac:dyDescent="0.25">
      <c r="A61" t="s">
        <v>14</v>
      </c>
      <c r="B61" s="70">
        <v>46133</v>
      </c>
      <c r="D61" s="1" t="s">
        <v>94</v>
      </c>
      <c r="E61">
        <v>2</v>
      </c>
      <c r="H61" s="7">
        <v>665</v>
      </c>
      <c r="J61" t="s">
        <v>91</v>
      </c>
      <c r="K61">
        <v>202</v>
      </c>
      <c r="L61" t="s">
        <v>73</v>
      </c>
    </row>
    <row r="62" spans="1:12" x14ac:dyDescent="0.25">
      <c r="A62" t="s">
        <v>14</v>
      </c>
      <c r="B62" s="70">
        <v>46133</v>
      </c>
      <c r="D62" s="1" t="s">
        <v>95</v>
      </c>
      <c r="H62" s="7">
        <v>3300</v>
      </c>
      <c r="J62" t="s">
        <v>91</v>
      </c>
      <c r="K62">
        <v>203</v>
      </c>
      <c r="L62" t="s">
        <v>73</v>
      </c>
    </row>
    <row r="63" spans="1:12" x14ac:dyDescent="0.25">
      <c r="A63" t="s">
        <v>14</v>
      </c>
      <c r="B63" s="70">
        <v>46133</v>
      </c>
      <c r="D63" s="1" t="s">
        <v>53</v>
      </c>
      <c r="E63">
        <v>2</v>
      </c>
      <c r="H63" s="7">
        <v>170</v>
      </c>
      <c r="J63" t="s">
        <v>91</v>
      </c>
      <c r="L63" t="s">
        <v>73</v>
      </c>
    </row>
    <row r="64" spans="1:12" s="64" customFormat="1" x14ac:dyDescent="0.25">
      <c r="A64" s="64" t="s">
        <v>96</v>
      </c>
      <c r="B64" s="84">
        <v>46134</v>
      </c>
      <c r="D64" s="65" t="s">
        <v>97</v>
      </c>
      <c r="E64" s="64">
        <v>3</v>
      </c>
      <c r="G64" s="66">
        <v>900</v>
      </c>
      <c r="H64" s="67">
        <v>2700</v>
      </c>
      <c r="J64" s="64" t="s">
        <v>91</v>
      </c>
    </row>
    <row r="65" spans="1:11" x14ac:dyDescent="0.25">
      <c r="A65" t="s">
        <v>96</v>
      </c>
      <c r="B65" s="70">
        <v>46134</v>
      </c>
      <c r="D65" s="1" t="s">
        <v>60</v>
      </c>
      <c r="E65">
        <v>2</v>
      </c>
      <c r="G65" s="39">
        <v>600</v>
      </c>
      <c r="H65" s="7">
        <v>1200</v>
      </c>
      <c r="J65" t="s">
        <v>91</v>
      </c>
    </row>
    <row r="66" spans="1:11" x14ac:dyDescent="0.25">
      <c r="A66" t="s">
        <v>96</v>
      </c>
      <c r="B66" s="70">
        <v>46135</v>
      </c>
      <c r="C66" t="s">
        <v>6</v>
      </c>
      <c r="D66" s="1" t="s">
        <v>85</v>
      </c>
      <c r="E66">
        <v>1</v>
      </c>
      <c r="H66" s="7">
        <v>500</v>
      </c>
      <c r="J66" t="s">
        <v>91</v>
      </c>
    </row>
    <row r="67" spans="1:11" x14ac:dyDescent="0.25">
      <c r="A67" t="s">
        <v>96</v>
      </c>
      <c r="B67" s="70">
        <v>46134</v>
      </c>
      <c r="D67" s="1" t="s">
        <v>98</v>
      </c>
      <c r="E67">
        <v>2</v>
      </c>
      <c r="G67" s="39">
        <v>800</v>
      </c>
      <c r="H67" s="7">
        <v>1600</v>
      </c>
      <c r="J67" t="s">
        <v>91</v>
      </c>
    </row>
    <row r="68" spans="1:11" x14ac:dyDescent="0.25">
      <c r="A68" t="s">
        <v>96</v>
      </c>
      <c r="B68" s="70">
        <v>46134</v>
      </c>
      <c r="D68" s="1" t="s">
        <v>80</v>
      </c>
      <c r="E68">
        <v>2</v>
      </c>
      <c r="G68" s="39">
        <v>1000</v>
      </c>
      <c r="H68" s="7">
        <v>2000</v>
      </c>
      <c r="J68" t="s">
        <v>91</v>
      </c>
    </row>
    <row r="69" spans="1:11" x14ac:dyDescent="0.25">
      <c r="A69" t="s">
        <v>96</v>
      </c>
      <c r="B69" s="70">
        <v>46134</v>
      </c>
      <c r="D69" s="1" t="s">
        <v>99</v>
      </c>
      <c r="E69">
        <v>1</v>
      </c>
      <c r="G69" s="39">
        <v>300</v>
      </c>
      <c r="H69" s="7">
        <v>300</v>
      </c>
      <c r="J69" t="s">
        <v>91</v>
      </c>
    </row>
    <row r="70" spans="1:11" x14ac:dyDescent="0.25">
      <c r="A70" t="s">
        <v>96</v>
      </c>
      <c r="B70" s="70">
        <v>46134</v>
      </c>
      <c r="D70" s="1" t="s">
        <v>47</v>
      </c>
      <c r="E70">
        <v>1</v>
      </c>
      <c r="H70" s="7">
        <v>350</v>
      </c>
      <c r="J70" t="s">
        <v>91</v>
      </c>
    </row>
    <row r="71" spans="1:11" x14ac:dyDescent="0.25">
      <c r="A71" t="s">
        <v>96</v>
      </c>
      <c r="B71" s="70">
        <v>46134</v>
      </c>
      <c r="C71" t="s">
        <v>1</v>
      </c>
      <c r="D71" s="1" t="s">
        <v>101</v>
      </c>
      <c r="E71">
        <v>1</v>
      </c>
      <c r="H71" s="7">
        <v>16215</v>
      </c>
      <c r="J71" s="9" t="s">
        <v>24</v>
      </c>
      <c r="K71">
        <v>220</v>
      </c>
    </row>
    <row r="72" spans="1:11" x14ac:dyDescent="0.25">
      <c r="A72" t="s">
        <v>96</v>
      </c>
      <c r="B72" s="70">
        <v>46134</v>
      </c>
      <c r="C72" t="s">
        <v>6</v>
      </c>
      <c r="D72" s="1" t="s">
        <v>102</v>
      </c>
      <c r="E72">
        <v>1</v>
      </c>
      <c r="H72" s="7">
        <v>9812</v>
      </c>
      <c r="J72" s="9" t="s">
        <v>24</v>
      </c>
      <c r="K72">
        <v>219</v>
      </c>
    </row>
    <row r="73" spans="1:11" x14ac:dyDescent="0.25">
      <c r="A73" t="s">
        <v>96</v>
      </c>
      <c r="B73" s="70">
        <v>46140</v>
      </c>
      <c r="D73" s="1" t="s">
        <v>97</v>
      </c>
      <c r="E73">
        <v>4</v>
      </c>
      <c r="G73" s="39">
        <v>900</v>
      </c>
      <c r="H73" s="7">
        <v>3600</v>
      </c>
      <c r="J73" t="s">
        <v>91</v>
      </c>
    </row>
    <row r="74" spans="1:11" x14ac:dyDescent="0.25">
      <c r="A74" t="s">
        <v>96</v>
      </c>
      <c r="B74" s="70">
        <v>46142</v>
      </c>
      <c r="D74" s="1" t="s">
        <v>60</v>
      </c>
      <c r="E74">
        <v>4</v>
      </c>
      <c r="G74" s="39">
        <v>600</v>
      </c>
      <c r="H74" s="7">
        <v>2400</v>
      </c>
      <c r="J74" t="s">
        <v>91</v>
      </c>
    </row>
    <row r="75" spans="1:11" x14ac:dyDescent="0.25">
      <c r="A75" t="s">
        <v>96</v>
      </c>
      <c r="B75" s="70">
        <v>46134</v>
      </c>
      <c r="D75" s="1" t="s">
        <v>104</v>
      </c>
      <c r="E75">
        <v>2</v>
      </c>
      <c r="G75" s="39">
        <v>250</v>
      </c>
      <c r="H75" s="7">
        <v>500</v>
      </c>
      <c r="J75" t="s">
        <v>91</v>
      </c>
    </row>
    <row r="76" spans="1:11" x14ac:dyDescent="0.25">
      <c r="A76" t="s">
        <v>96</v>
      </c>
      <c r="B76" s="70">
        <v>46134</v>
      </c>
      <c r="D76" s="1" t="s">
        <v>105</v>
      </c>
      <c r="E76">
        <v>2</v>
      </c>
      <c r="G76" s="39">
        <v>150</v>
      </c>
      <c r="H76" s="7">
        <v>300</v>
      </c>
      <c r="J76" t="s">
        <v>91</v>
      </c>
    </row>
    <row r="77" spans="1:11" x14ac:dyDescent="0.25">
      <c r="A77" t="s">
        <v>96</v>
      </c>
      <c r="B77" s="70">
        <v>46140</v>
      </c>
      <c r="D77" s="1" t="s">
        <v>84</v>
      </c>
      <c r="E77">
        <v>1</v>
      </c>
      <c r="H77" s="7">
        <v>500</v>
      </c>
      <c r="J77" t="s">
        <v>91</v>
      </c>
    </row>
    <row r="78" spans="1:11" x14ac:dyDescent="0.25">
      <c r="A78" t="s">
        <v>96</v>
      </c>
      <c r="B78" s="70">
        <v>46140</v>
      </c>
      <c r="D78" s="1" t="s">
        <v>84</v>
      </c>
      <c r="E78">
        <v>2</v>
      </c>
      <c r="G78" s="39">
        <v>1000</v>
      </c>
      <c r="H78" s="7">
        <v>2000</v>
      </c>
      <c r="J78" t="s">
        <v>91</v>
      </c>
    </row>
    <row r="79" spans="1:11" x14ac:dyDescent="0.25">
      <c r="A79" t="s">
        <v>96</v>
      </c>
      <c r="B79" s="70">
        <v>46140</v>
      </c>
      <c r="D79" s="1" t="s">
        <v>60</v>
      </c>
      <c r="E79">
        <v>2</v>
      </c>
      <c r="G79" s="39">
        <v>1000</v>
      </c>
      <c r="H79" s="7">
        <v>2000</v>
      </c>
      <c r="J79" t="s">
        <v>91</v>
      </c>
    </row>
    <row r="80" spans="1:11" x14ac:dyDescent="0.25">
      <c r="A80" t="s">
        <v>96</v>
      </c>
      <c r="B80" s="70">
        <v>46140</v>
      </c>
      <c r="D80" s="1" t="s">
        <v>53</v>
      </c>
      <c r="E80">
        <v>1</v>
      </c>
      <c r="H80" s="7">
        <v>500</v>
      </c>
      <c r="J80" t="s">
        <v>91</v>
      </c>
    </row>
    <row r="81" spans="1:11" x14ac:dyDescent="0.25">
      <c r="A81" t="s">
        <v>96</v>
      </c>
      <c r="B81" s="70">
        <v>46140</v>
      </c>
      <c r="D81" s="1" t="s">
        <v>106</v>
      </c>
      <c r="E81">
        <v>3</v>
      </c>
      <c r="H81" s="7">
        <v>73000</v>
      </c>
      <c r="J81" t="s">
        <v>91</v>
      </c>
    </row>
    <row r="82" spans="1:11" x14ac:dyDescent="0.25">
      <c r="A82" t="s">
        <v>96</v>
      </c>
      <c r="B82" s="70">
        <v>46140</v>
      </c>
      <c r="D82" s="1" t="s">
        <v>107</v>
      </c>
      <c r="E82">
        <v>2</v>
      </c>
      <c r="H82" s="7">
        <v>200</v>
      </c>
      <c r="J82" t="s">
        <v>91</v>
      </c>
    </row>
    <row r="83" spans="1:11" x14ac:dyDescent="0.25">
      <c r="A83" t="s">
        <v>96</v>
      </c>
      <c r="B83" s="70">
        <v>46140</v>
      </c>
      <c r="D83" s="1" t="s">
        <v>108</v>
      </c>
      <c r="E83">
        <v>1</v>
      </c>
      <c r="H83" s="7">
        <v>5000</v>
      </c>
      <c r="J83" t="s">
        <v>91</v>
      </c>
    </row>
    <row r="84" spans="1:11" x14ac:dyDescent="0.25">
      <c r="A84" t="s">
        <v>96</v>
      </c>
      <c r="B84" s="70">
        <v>46140</v>
      </c>
      <c r="C84" s="69"/>
      <c r="D84" s="1" t="s">
        <v>109</v>
      </c>
      <c r="E84">
        <v>6</v>
      </c>
      <c r="H84" s="7">
        <v>4800</v>
      </c>
      <c r="J84" t="s">
        <v>91</v>
      </c>
    </row>
    <row r="85" spans="1:11" x14ac:dyDescent="0.25">
      <c r="A85" t="s">
        <v>96</v>
      </c>
      <c r="B85" s="70">
        <v>46141</v>
      </c>
      <c r="D85" s="1" t="s">
        <v>97</v>
      </c>
      <c r="E85">
        <v>3</v>
      </c>
      <c r="G85" s="39">
        <v>900</v>
      </c>
      <c r="H85" s="7">
        <v>2700</v>
      </c>
      <c r="J85" t="s">
        <v>91</v>
      </c>
    </row>
    <row r="86" spans="1:11" x14ac:dyDescent="0.25">
      <c r="A86" t="s">
        <v>96</v>
      </c>
      <c r="B86" s="70">
        <v>46141</v>
      </c>
      <c r="D86" s="1" t="s">
        <v>110</v>
      </c>
      <c r="E86">
        <v>1</v>
      </c>
      <c r="G86" s="39">
        <v>600</v>
      </c>
      <c r="H86" s="7">
        <v>600</v>
      </c>
      <c r="J86" t="s">
        <v>91</v>
      </c>
    </row>
    <row r="87" spans="1:11" x14ac:dyDescent="0.25">
      <c r="A87" t="s">
        <v>96</v>
      </c>
      <c r="B87" s="70">
        <v>46141</v>
      </c>
      <c r="D87" s="1" t="s">
        <v>111</v>
      </c>
      <c r="E87">
        <v>1</v>
      </c>
      <c r="H87" s="23">
        <v>200</v>
      </c>
      <c r="J87" t="s">
        <v>91</v>
      </c>
    </row>
    <row r="88" spans="1:11" ht="15.75" x14ac:dyDescent="0.25">
      <c r="A88" t="s">
        <v>96</v>
      </c>
      <c r="B88" s="70">
        <v>46142</v>
      </c>
      <c r="D88" s="1" t="s">
        <v>112</v>
      </c>
      <c r="E88">
        <v>1</v>
      </c>
      <c r="H88" s="7">
        <v>81720</v>
      </c>
      <c r="J88" s="49" t="s">
        <v>25</v>
      </c>
      <c r="K88">
        <v>226</v>
      </c>
    </row>
    <row r="89" spans="1:11" ht="15.75" x14ac:dyDescent="0.25">
      <c r="A89" t="s">
        <v>96</v>
      </c>
      <c r="B89" s="70">
        <v>46142</v>
      </c>
      <c r="D89" s="1" t="s">
        <v>113</v>
      </c>
      <c r="E89">
        <v>1</v>
      </c>
      <c r="H89" s="7">
        <v>40600</v>
      </c>
      <c r="J89" s="49" t="s">
        <v>25</v>
      </c>
      <c r="K89">
        <v>226</v>
      </c>
    </row>
    <row r="90" spans="1:11" ht="15.75" x14ac:dyDescent="0.25">
      <c r="A90" t="s">
        <v>96</v>
      </c>
      <c r="B90" s="70">
        <v>46142</v>
      </c>
      <c r="D90" s="1" t="s">
        <v>113</v>
      </c>
      <c r="E90">
        <v>1</v>
      </c>
      <c r="H90" s="7">
        <v>6660</v>
      </c>
      <c r="J90" s="49" t="s">
        <v>25</v>
      </c>
      <c r="K90">
        <v>226</v>
      </c>
    </row>
    <row r="91" spans="1:11" x14ac:dyDescent="0.25">
      <c r="A91" t="s">
        <v>96</v>
      </c>
      <c r="B91" s="70">
        <v>46142</v>
      </c>
      <c r="D91" s="1" t="s">
        <v>114</v>
      </c>
      <c r="E91">
        <v>1</v>
      </c>
      <c r="H91" s="7">
        <v>9000</v>
      </c>
      <c r="J91" s="16" t="s">
        <v>80</v>
      </c>
      <c r="K91">
        <v>234</v>
      </c>
    </row>
    <row r="92" spans="1:11" x14ac:dyDescent="0.25">
      <c r="A92" t="s">
        <v>96</v>
      </c>
      <c r="B92" s="70">
        <v>46142</v>
      </c>
      <c r="D92" s="1" t="s">
        <v>115</v>
      </c>
      <c r="E92">
        <v>1</v>
      </c>
      <c r="H92" s="7">
        <v>7000</v>
      </c>
      <c r="J92" s="16" t="s">
        <v>80</v>
      </c>
      <c r="K92">
        <v>234</v>
      </c>
    </row>
    <row r="93" spans="1:11" x14ac:dyDescent="0.25">
      <c r="A93" t="s">
        <v>96</v>
      </c>
      <c r="B93" s="70">
        <v>46142</v>
      </c>
      <c r="D93" s="1" t="s">
        <v>116</v>
      </c>
      <c r="E93">
        <v>1</v>
      </c>
      <c r="H93" s="7">
        <v>4000</v>
      </c>
      <c r="J93" s="16" t="s">
        <v>80</v>
      </c>
      <c r="K93">
        <v>234</v>
      </c>
    </row>
    <row r="94" spans="1:11" x14ac:dyDescent="0.25">
      <c r="A94" t="s">
        <v>96</v>
      </c>
      <c r="B94" s="70">
        <v>46142</v>
      </c>
      <c r="D94" s="1" t="s">
        <v>117</v>
      </c>
      <c r="E94">
        <v>1</v>
      </c>
      <c r="H94" s="7">
        <v>7000</v>
      </c>
      <c r="J94" s="16" t="s">
        <v>80</v>
      </c>
      <c r="K94">
        <v>234</v>
      </c>
    </row>
    <row r="95" spans="1:11" x14ac:dyDescent="0.25">
      <c r="A95" t="s">
        <v>96</v>
      </c>
      <c r="B95" s="70">
        <v>46142</v>
      </c>
      <c r="D95" s="1" t="s">
        <v>118</v>
      </c>
      <c r="E95">
        <v>1</v>
      </c>
      <c r="H95" s="7">
        <v>400</v>
      </c>
      <c r="J95" s="16" t="s">
        <v>80</v>
      </c>
      <c r="K95">
        <v>235</v>
      </c>
    </row>
    <row r="96" spans="1:11" x14ac:dyDescent="0.25">
      <c r="A96" t="s">
        <v>96</v>
      </c>
      <c r="B96" s="70">
        <v>46142</v>
      </c>
      <c r="D96" s="1" t="s">
        <v>119</v>
      </c>
      <c r="E96">
        <v>1</v>
      </c>
      <c r="H96" s="7">
        <v>500</v>
      </c>
      <c r="J96" s="16" t="s">
        <v>80</v>
      </c>
      <c r="K96">
        <v>235</v>
      </c>
    </row>
    <row r="97" spans="1:10" x14ac:dyDescent="0.25">
      <c r="A97" t="s">
        <v>96</v>
      </c>
      <c r="B97" s="70">
        <v>46142</v>
      </c>
      <c r="D97" s="1"/>
      <c r="E97">
        <v>1</v>
      </c>
      <c r="H97" s="7"/>
      <c r="J97" s="16"/>
    </row>
  </sheetData>
  <autoFilter ref="A4:K97" xr:uid="{00000000-0009-0000-0000-000001000000}"/>
  <dataValidations count="1">
    <dataValidation type="list" allowBlank="1" showInputMessage="1" showErrorMessage="1" sqref="C5:C97" xr:uid="{00000000-0002-0000-0100-000000000000}">
      <formula1>$M$2:$M$4</formula1>
    </dataValidation>
  </dataValidation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41"/>
  <sheetViews>
    <sheetView topLeftCell="A3" workbookViewId="0">
      <selection activeCell="A5" sqref="A1:A1048576"/>
    </sheetView>
  </sheetViews>
  <sheetFormatPr defaultRowHeight="15" x14ac:dyDescent="0.25"/>
  <cols>
    <col min="2" max="2" width="12.28515625" customWidth="1"/>
    <col min="3" max="3" width="11.7109375" style="39" customWidth="1"/>
    <col min="4" max="4" width="14.5703125" customWidth="1"/>
    <col min="6" max="6" width="20.28515625" customWidth="1"/>
    <col min="7" max="7" width="11.140625" customWidth="1"/>
    <col min="8" max="8" width="11.28515625" bestFit="1" customWidth="1"/>
    <col min="9" max="9" width="9.85546875" bestFit="1" customWidth="1"/>
    <col min="10" max="10" width="14.28515625" customWidth="1"/>
    <col min="11" max="11" width="15.140625" customWidth="1"/>
  </cols>
  <sheetData>
    <row r="1" spans="2:17" ht="19.899999999999999" customHeight="1" x14ac:dyDescent="0.3">
      <c r="B1" s="82" t="s">
        <v>41</v>
      </c>
      <c r="C1" s="83"/>
      <c r="D1" s="83"/>
      <c r="E1" s="42"/>
      <c r="F1" s="44"/>
      <c r="G1" s="45" t="s">
        <v>42</v>
      </c>
      <c r="H1" s="46" t="s">
        <v>43</v>
      </c>
      <c r="I1" s="46" t="s">
        <v>44</v>
      </c>
      <c r="J1" s="47" t="s">
        <v>61</v>
      </c>
      <c r="K1" s="48">
        <f>SUM(I2:I9)</f>
        <v>405678</v>
      </c>
      <c r="L1" s="81"/>
      <c r="M1" s="81"/>
    </row>
    <row r="2" spans="2:17" ht="19.149999999999999" customHeight="1" x14ac:dyDescent="0.3">
      <c r="B2" s="82"/>
      <c r="C2" s="83"/>
      <c r="D2" s="83"/>
      <c r="E2" s="42"/>
      <c r="F2" s="49" t="s">
        <v>24</v>
      </c>
      <c r="G2" s="52">
        <f>খরচ!$S$3</f>
        <v>98072</v>
      </c>
      <c r="H2" s="52">
        <f>SUMIFS(C11:C226,D11:D226,F2)</f>
        <v>70000</v>
      </c>
      <c r="I2" s="50">
        <f>G2-H2</f>
        <v>28072</v>
      </c>
      <c r="J2" s="46"/>
      <c r="K2" s="46"/>
      <c r="L2" s="81"/>
      <c r="M2" s="81"/>
    </row>
    <row r="3" spans="2:17" ht="20.45" customHeight="1" x14ac:dyDescent="0.3">
      <c r="B3" s="82"/>
      <c r="C3" s="83"/>
      <c r="D3" s="83"/>
      <c r="E3" s="42"/>
      <c r="F3" s="49" t="s">
        <v>25</v>
      </c>
      <c r="G3" s="52">
        <f>খরচ!$S$6</f>
        <v>128980</v>
      </c>
      <c r="H3" s="52">
        <f>SUMIFS(C:C,D:D,F3)</f>
        <v>0</v>
      </c>
      <c r="I3" s="50">
        <f t="shared" ref="I3:I9" si="0">G3-H3</f>
        <v>128980</v>
      </c>
      <c r="J3" s="46"/>
      <c r="K3" s="46"/>
      <c r="L3" s="9"/>
      <c r="M3" s="30"/>
    </row>
    <row r="4" spans="2:17" ht="22.9" customHeight="1" x14ac:dyDescent="0.3">
      <c r="B4" s="82"/>
      <c r="C4" s="83"/>
      <c r="D4" s="83"/>
      <c r="E4" s="42"/>
      <c r="F4" s="49" t="s">
        <v>26</v>
      </c>
      <c r="G4" s="52">
        <f>খরচ!$U$3</f>
        <v>7280</v>
      </c>
      <c r="H4" s="52">
        <f t="shared" ref="H4:H8" si="1">SUMIFS(C:C,D:D,F4)</f>
        <v>0</v>
      </c>
      <c r="I4" s="50">
        <f t="shared" si="0"/>
        <v>7280</v>
      </c>
      <c r="J4" s="46"/>
      <c r="K4" s="46"/>
      <c r="L4" s="9"/>
      <c r="M4" s="30"/>
    </row>
    <row r="5" spans="2:17" ht="21.6" customHeight="1" x14ac:dyDescent="0.3">
      <c r="B5" s="40"/>
      <c r="C5" s="54"/>
      <c r="D5" s="42"/>
      <c r="E5" s="42"/>
      <c r="F5" s="49" t="s">
        <v>27</v>
      </c>
      <c r="G5" s="52">
        <f>খরচ!$U$6</f>
        <v>138970</v>
      </c>
      <c r="H5" s="52">
        <f t="shared" si="1"/>
        <v>50000</v>
      </c>
      <c r="I5" s="50">
        <f t="shared" si="0"/>
        <v>88970</v>
      </c>
      <c r="J5" s="46"/>
      <c r="K5" s="46"/>
      <c r="L5" s="9"/>
      <c r="M5" s="30"/>
    </row>
    <row r="6" spans="2:17" ht="24" customHeight="1" x14ac:dyDescent="0.3">
      <c r="B6" s="40"/>
      <c r="C6" s="54"/>
      <c r="D6" s="42"/>
      <c r="E6" s="42"/>
      <c r="F6" s="51" t="s">
        <v>29</v>
      </c>
      <c r="G6" s="52">
        <f>খরচ!$W$3</f>
        <v>0</v>
      </c>
      <c r="H6" s="52">
        <f t="shared" si="1"/>
        <v>0</v>
      </c>
      <c r="I6" s="50">
        <f t="shared" si="0"/>
        <v>0</v>
      </c>
      <c r="J6" s="46"/>
      <c r="K6" s="46"/>
      <c r="L6" s="9"/>
      <c r="M6" s="30"/>
    </row>
    <row r="7" spans="2:17" ht="22.9" customHeight="1" x14ac:dyDescent="0.3">
      <c r="B7" s="40"/>
      <c r="C7" s="54"/>
      <c r="D7" s="42"/>
      <c r="E7" s="42"/>
      <c r="F7" s="51" t="s">
        <v>50</v>
      </c>
      <c r="G7" s="52">
        <f>খরচ!$W$6</f>
        <v>72476</v>
      </c>
      <c r="H7" s="52">
        <f t="shared" si="1"/>
        <v>0</v>
      </c>
      <c r="I7" s="50">
        <f t="shared" si="0"/>
        <v>72476</v>
      </c>
      <c r="J7" s="46"/>
      <c r="K7" s="46"/>
      <c r="L7" s="16"/>
      <c r="M7" s="30"/>
    </row>
    <row r="8" spans="2:17" ht="23.25" x14ac:dyDescent="0.3">
      <c r="B8" s="32"/>
      <c r="C8" s="55"/>
      <c r="D8" s="33"/>
      <c r="E8" s="9"/>
      <c r="F8" s="49" t="s">
        <v>28</v>
      </c>
      <c r="G8" s="53">
        <f>খরচ!$Y$3</f>
        <v>0</v>
      </c>
      <c r="H8" s="52">
        <f t="shared" si="1"/>
        <v>0</v>
      </c>
      <c r="I8" s="50">
        <f t="shared" si="0"/>
        <v>0</v>
      </c>
      <c r="J8" s="46"/>
      <c r="K8" s="46"/>
      <c r="L8" s="16"/>
      <c r="M8" s="30"/>
    </row>
    <row r="9" spans="2:17" ht="23.25" x14ac:dyDescent="0.25">
      <c r="B9" s="32"/>
      <c r="C9" s="55"/>
      <c r="D9" s="33"/>
      <c r="E9" s="9"/>
      <c r="F9" s="9" t="s">
        <v>80</v>
      </c>
      <c r="G9" s="53">
        <f>খরচ!$Y$6</f>
        <v>79900</v>
      </c>
      <c r="H9" s="52">
        <f t="shared" ref="H9" si="2">SUMIFS(C:C,D:D,F9)</f>
        <v>0</v>
      </c>
      <c r="I9" s="50">
        <f t="shared" si="0"/>
        <v>79900</v>
      </c>
      <c r="L9" s="16"/>
      <c r="M9" s="26"/>
      <c r="P9" s="29"/>
      <c r="Q9" s="30"/>
    </row>
    <row r="10" spans="2:17" x14ac:dyDescent="0.25">
      <c r="B10" s="27" t="s">
        <v>30</v>
      </c>
      <c r="C10" s="56" t="s">
        <v>12</v>
      </c>
      <c r="D10" s="28" t="s">
        <v>45</v>
      </c>
      <c r="E10" s="9" t="s">
        <v>46</v>
      </c>
      <c r="P10" s="29"/>
      <c r="Q10" s="30"/>
    </row>
    <row r="11" spans="2:17" ht="15.75" x14ac:dyDescent="0.25">
      <c r="B11" s="31">
        <v>46121</v>
      </c>
      <c r="C11" s="39">
        <v>50000</v>
      </c>
      <c r="D11" s="49" t="s">
        <v>24</v>
      </c>
      <c r="E11">
        <v>61</v>
      </c>
      <c r="P11" s="29"/>
      <c r="Q11" s="30"/>
    </row>
    <row r="12" spans="2:17" ht="15.75" x14ac:dyDescent="0.25">
      <c r="B12" s="31">
        <v>46124</v>
      </c>
      <c r="C12" s="39">
        <v>50000</v>
      </c>
      <c r="D12" s="49" t="s">
        <v>27</v>
      </c>
      <c r="E12">
        <v>65</v>
      </c>
      <c r="P12" s="29"/>
      <c r="Q12" s="30"/>
    </row>
    <row r="13" spans="2:17" ht="15.75" x14ac:dyDescent="0.25">
      <c r="B13" s="31">
        <v>46140</v>
      </c>
      <c r="C13" s="39">
        <v>20000</v>
      </c>
      <c r="D13" s="49" t="s">
        <v>24</v>
      </c>
      <c r="P13" s="29"/>
      <c r="Q13" s="30"/>
    </row>
    <row r="14" spans="2:17" x14ac:dyDescent="0.25">
      <c r="B14" s="31"/>
      <c r="D14" s="9"/>
      <c r="P14" s="29"/>
      <c r="Q14" s="30"/>
    </row>
    <row r="15" spans="2:17" x14ac:dyDescent="0.25">
      <c r="B15" s="31"/>
      <c r="D15" s="16"/>
      <c r="I15" t="s">
        <v>48</v>
      </c>
      <c r="J15" s="15"/>
    </row>
    <row r="16" spans="2:17" x14ac:dyDescent="0.25">
      <c r="B16" s="31"/>
    </row>
    <row r="17" spans="2:15" x14ac:dyDescent="0.25">
      <c r="B17" s="31"/>
      <c r="D17" s="9"/>
    </row>
    <row r="18" spans="2:15" x14ac:dyDescent="0.25">
      <c r="N18" s="35"/>
      <c r="O18" s="9"/>
    </row>
    <row r="19" spans="2:15" x14ac:dyDescent="0.25">
      <c r="D19" s="9"/>
      <c r="F19" t="s">
        <v>48</v>
      </c>
      <c r="N19" s="35"/>
      <c r="O19" s="9"/>
    </row>
    <row r="20" spans="2:15" x14ac:dyDescent="0.25">
      <c r="D20" s="9"/>
      <c r="N20" s="36"/>
      <c r="O20" s="9"/>
    </row>
    <row r="21" spans="2:15" x14ac:dyDescent="0.25">
      <c r="D21" s="9"/>
      <c r="F21" t="s">
        <v>48</v>
      </c>
      <c r="N21" s="35"/>
      <c r="O21" s="9"/>
    </row>
    <row r="22" spans="2:15" x14ac:dyDescent="0.25">
      <c r="D22" s="9"/>
      <c r="J22" s="15"/>
      <c r="N22" s="35"/>
      <c r="O22" s="16"/>
    </row>
    <row r="23" spans="2:15" x14ac:dyDescent="0.25">
      <c r="D23" s="16"/>
      <c r="N23" s="35"/>
      <c r="O23" s="9"/>
    </row>
    <row r="24" spans="2:15" x14ac:dyDescent="0.25">
      <c r="D24" s="16"/>
      <c r="J24" s="15"/>
      <c r="N24" s="36"/>
      <c r="O24" s="9"/>
    </row>
    <row r="25" spans="2:15" x14ac:dyDescent="0.25">
      <c r="D25" s="9"/>
      <c r="J25" s="15"/>
      <c r="N25" s="34"/>
      <c r="O25" s="16"/>
    </row>
    <row r="26" spans="2:15" x14ac:dyDescent="0.25">
      <c r="N26" s="37"/>
      <c r="O26" s="9"/>
    </row>
    <row r="27" spans="2:15" x14ac:dyDescent="0.25">
      <c r="D27" s="9"/>
      <c r="N27" s="7"/>
      <c r="O27" s="9"/>
    </row>
    <row r="28" spans="2:15" x14ac:dyDescent="0.25">
      <c r="D28" s="9"/>
      <c r="J28" s="15"/>
      <c r="N28" s="37"/>
      <c r="O28" s="9"/>
    </row>
    <row r="29" spans="2:15" x14ac:dyDescent="0.25">
      <c r="D29" s="9"/>
      <c r="N29" s="30"/>
      <c r="O29" s="16"/>
    </row>
    <row r="30" spans="2:15" x14ac:dyDescent="0.25">
      <c r="J30" s="15"/>
      <c r="N30" s="30"/>
      <c r="O30" s="9"/>
    </row>
    <row r="31" spans="2:15" x14ac:dyDescent="0.25">
      <c r="N31" s="38"/>
      <c r="O31" s="9"/>
    </row>
    <row r="32" spans="2:15" x14ac:dyDescent="0.25">
      <c r="J32" s="15"/>
      <c r="N32" s="30"/>
      <c r="O32" s="16"/>
    </row>
    <row r="33" spans="10:15" x14ac:dyDescent="0.25">
      <c r="N33" s="38"/>
      <c r="O33" s="9"/>
    </row>
    <row r="34" spans="10:15" x14ac:dyDescent="0.25">
      <c r="J34" s="15"/>
      <c r="N34" s="7"/>
      <c r="O34" s="9"/>
    </row>
    <row r="35" spans="10:15" x14ac:dyDescent="0.25">
      <c r="N35" s="30"/>
      <c r="O35" s="9"/>
    </row>
    <row r="36" spans="10:15" x14ac:dyDescent="0.25">
      <c r="N36" s="38"/>
      <c r="O36" s="16"/>
    </row>
    <row r="37" spans="10:15" x14ac:dyDescent="0.25">
      <c r="N37" s="30"/>
      <c r="O37" s="9"/>
    </row>
    <row r="38" spans="10:15" x14ac:dyDescent="0.25">
      <c r="N38" s="30"/>
      <c r="O38" s="16"/>
    </row>
    <row r="39" spans="10:15" x14ac:dyDescent="0.25">
      <c r="O39" s="9"/>
    </row>
    <row r="40" spans="10:15" x14ac:dyDescent="0.25">
      <c r="O40" s="9"/>
    </row>
    <row r="41" spans="10:15" x14ac:dyDescent="0.25">
      <c r="O41" s="16"/>
    </row>
  </sheetData>
  <mergeCells count="3">
    <mergeCell ref="L2:M2"/>
    <mergeCell ref="L1:M1"/>
    <mergeCell ref="B1:D4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অর্থ গ্রহন</vt:lpstr>
      <vt:lpstr>খরচ</vt:lpstr>
      <vt:lpstr>বকেয়া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madrasatul madinah</dc:creator>
  <cp:lastModifiedBy>sa sa</cp:lastModifiedBy>
  <dcterms:created xsi:type="dcterms:W3CDTF">2026-04-03T01:05:34Z</dcterms:created>
  <dcterms:modified xsi:type="dcterms:W3CDTF">2026-05-02T18:56:51Z</dcterms:modified>
</cp:coreProperties>
</file>