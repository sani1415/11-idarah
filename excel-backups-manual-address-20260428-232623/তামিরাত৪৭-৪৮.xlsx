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im\Downloads\"/>
    </mc:Choice>
  </mc:AlternateContent>
  <xr:revisionPtr revIDLastSave="0" documentId="13_ncr:1_{6AB8FA11-6A87-4825-B318-F900C62436BD}" xr6:coauthVersionLast="47" xr6:coauthVersionMax="47" xr10:uidLastSave="{00000000-0000-0000-0000-000000000000}"/>
  <bookViews>
    <workbookView xWindow="3240" yWindow="3840" windowWidth="21600" windowHeight="10845" activeTab="2" xr2:uid="{00000000-000D-0000-FFFF-FFFF00000000}"/>
  </bookViews>
  <sheets>
    <sheet name="অর্থ গ্রহন" sheetId="1" r:id="rId1"/>
    <sheet name="খরচ" sheetId="2" r:id="rId2"/>
    <sheet name="বকেয়া" sheetId="3" r:id="rId3"/>
  </sheets>
  <definedNames>
    <definedName name="_xlnm._FilterDatabase" localSheetId="1" hidden="1">খরচ!$A$4:$K$880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H9" i="3" l="1"/>
  <c r="Z6" i="2"/>
  <c r="Y6" i="2"/>
  <c r="G9" i="3" s="1"/>
  <c r="I9" i="3" s="1"/>
  <c r="H37" i="2"/>
  <c r="H33" i="2" l="1"/>
  <c r="H32" i="2"/>
  <c r="H29" i="2"/>
  <c r="AA3" i="2" s="1"/>
  <c r="S2" i="1" s="1"/>
  <c r="N3" i="2" l="1"/>
  <c r="N4" i="2"/>
  <c r="N2" i="2"/>
  <c r="H4" i="3" l="1"/>
  <c r="H5" i="3"/>
  <c r="H6" i="3"/>
  <c r="H7" i="3"/>
  <c r="H8" i="3"/>
  <c r="H3" i="3"/>
  <c r="H2" i="3"/>
  <c r="N4" i="1"/>
  <c r="N3" i="1"/>
  <c r="N2" i="1"/>
  <c r="F4" i="1"/>
  <c r="I2" i="2" l="1"/>
  <c r="F6" i="1" s="1"/>
  <c r="I6" i="1" l="1"/>
  <c r="T3" i="2"/>
  <c r="X3" i="2"/>
  <c r="V6" i="2"/>
  <c r="X6" i="2"/>
  <c r="T6" i="2"/>
  <c r="Z3" i="2"/>
  <c r="V3" i="2"/>
  <c r="U6" i="2"/>
  <c r="G5" i="3" s="1"/>
  <c r="I5" i="3" s="1"/>
  <c r="W3" i="2"/>
  <c r="G6" i="3" s="1"/>
  <c r="I6" i="3" s="1"/>
  <c r="Y3" i="2"/>
  <c r="G8" i="3" s="1"/>
  <c r="I8" i="3" s="1"/>
  <c r="U3" i="2"/>
  <c r="G4" i="3" s="1"/>
  <c r="I4" i="3" s="1"/>
  <c r="W6" i="2"/>
  <c r="G7" i="3" s="1"/>
  <c r="I7" i="3" s="1"/>
  <c r="S6" i="2"/>
  <c r="G3" i="3" s="1"/>
  <c r="I3" i="3" s="1"/>
  <c r="S3" i="2"/>
  <c r="G2" i="3" s="1"/>
  <c r="I2" i="3" s="1"/>
  <c r="K1" i="3" l="1"/>
  <c r="Q2" i="1" s="1"/>
  <c r="Q3" i="1" s="1"/>
  <c r="Q1" i="1"/>
</calcChain>
</file>

<file path=xl/sharedStrings.xml><?xml version="1.0" encoding="utf-8"?>
<sst xmlns="http://schemas.openxmlformats.org/spreadsheetml/2006/main" count="1169" uniqueCount="108">
  <si>
    <t>তামীরাত - ১৪৪৬/৪৭ হিজরী</t>
  </si>
  <si>
    <t>দস্তরখান ভবন</t>
  </si>
  <si>
    <t>মাদরাসা থেকে পাবো</t>
  </si>
  <si>
    <t>মোট অর্থ গ্রহণ</t>
  </si>
  <si>
    <t>আবাসিক ভবন</t>
  </si>
  <si>
    <t>বিভিন্ন স্থানে বকেয়া</t>
  </si>
  <si>
    <t>মক্তব</t>
  </si>
  <si>
    <t>দফতরে বিদ্যমান</t>
  </si>
  <si>
    <t xml:space="preserve">মোট ব্যয় </t>
  </si>
  <si>
    <t>বকেয়া/বিদ্যমান</t>
  </si>
  <si>
    <t>মাস</t>
  </si>
  <si>
    <t>তারীখ</t>
  </si>
  <si>
    <t>পরিমাণ</t>
  </si>
  <si>
    <t>মন্তব্য</t>
  </si>
  <si>
    <t>শাওয়াল</t>
  </si>
  <si>
    <t>জিলকাদ</t>
  </si>
  <si>
    <t>জিলহাজ</t>
  </si>
  <si>
    <t>মুহাররম</t>
  </si>
  <si>
    <t>সফর</t>
  </si>
  <si>
    <t>রবিউল আঃ</t>
  </si>
  <si>
    <t>রবিউস সানিঃ</t>
  </si>
  <si>
    <t>জুমাদাল উলা</t>
  </si>
  <si>
    <t>জুমাদাল আখেরা</t>
  </si>
  <si>
    <t>রামযান</t>
  </si>
  <si>
    <t>আনোয়ার</t>
  </si>
  <si>
    <t>বিশাল থাই</t>
  </si>
  <si>
    <t>কামাল সিমেন্ট</t>
  </si>
  <si>
    <t>বন্ধু ট্রেডার্স</t>
  </si>
  <si>
    <t>মা হার্ডওয়ার</t>
  </si>
  <si>
    <t>ঊষা স্যানেটারি</t>
  </si>
  <si>
    <t>তারিখ</t>
  </si>
  <si>
    <t xml:space="preserve"> খাত</t>
  </si>
  <si>
    <t>বিবরণ</t>
  </si>
  <si>
    <t>মাপ</t>
  </si>
  <si>
    <t>মূল্য</t>
  </si>
  <si>
    <t>বাকি</t>
  </si>
  <si>
    <t>সরবরাহকারি</t>
  </si>
  <si>
    <t>রশিদ নং</t>
  </si>
  <si>
    <t>টাইলস মিস্ত্রি</t>
  </si>
  <si>
    <t>সিমেন্ট</t>
  </si>
  <si>
    <t>রবিউস সানী</t>
  </si>
  <si>
    <t>জুম:উলা</t>
  </si>
  <si>
    <t>জুমা:আখেরা</t>
  </si>
  <si>
    <t>শাবান</t>
  </si>
  <si>
    <t>রামাযান</t>
  </si>
  <si>
    <t>বিভিন্ন স্থানে বকেয়া ও অর্থ পরিশোধের হিসাব</t>
  </si>
  <si>
    <t>মোট</t>
  </si>
  <si>
    <t>আদায়</t>
  </si>
  <si>
    <t>অনাদায়</t>
  </si>
  <si>
    <t>স্থান</t>
  </si>
  <si>
    <t>রশিদ</t>
  </si>
  <si>
    <t>কাঠ</t>
  </si>
  <si>
    <t xml:space="preserve"> </t>
  </si>
  <si>
    <t>তামীরাত - ১৪৪৭/৪৮ হিজরী</t>
  </si>
  <si>
    <t>বেলাল আলীপুর</t>
  </si>
  <si>
    <t>মোট হিসাব</t>
  </si>
  <si>
    <t>খরচ</t>
  </si>
  <si>
    <t>ভাড়া</t>
  </si>
  <si>
    <t xml:space="preserve">মোট </t>
  </si>
  <si>
    <t>৫” টলির চাকা</t>
  </si>
  <si>
    <t>৪” টলির চাকা</t>
  </si>
  <si>
    <t>ফম ডিক্স</t>
  </si>
  <si>
    <t>ওয়েল্ডিং রং</t>
  </si>
  <si>
    <t xml:space="preserve">মিস্ত্রি </t>
  </si>
  <si>
    <t>সহকারী</t>
  </si>
  <si>
    <t>মোট অনাদায়</t>
  </si>
  <si>
    <t>মক্তব এবং বিদুতিকার টিন+এঙ্গেল</t>
  </si>
  <si>
    <t>মিস্ত্রি খরচ</t>
  </si>
  <si>
    <t>বিভিন্ন সামান</t>
  </si>
  <si>
    <t>মক্তবের সুন্দুকের বোর্ড</t>
  </si>
  <si>
    <t>মক্তবের সুন্দুক</t>
  </si>
  <si>
    <t xml:space="preserve">বেসিন </t>
  </si>
  <si>
    <t>জাহিদ</t>
  </si>
  <si>
    <t>লেভার খরচ</t>
  </si>
  <si>
    <t>জাওয়াল সঞ্চয়</t>
  </si>
  <si>
    <t>শমিকদের ভাড়া</t>
  </si>
  <si>
    <t>সুপার ষ্টার পাখা</t>
  </si>
  <si>
    <t>সাদ</t>
  </si>
  <si>
    <t>তার</t>
  </si>
  <si>
    <t>মাধ্যম</t>
  </si>
  <si>
    <t>বেসিনের মিস্ত্রি</t>
  </si>
  <si>
    <t>বেসিনের সামান</t>
  </si>
  <si>
    <t>তাক প্রস্তুত</t>
  </si>
  <si>
    <t>আবুল মনসুর</t>
  </si>
  <si>
    <t>কাঠ মিস্ত্রি</t>
  </si>
  <si>
    <t>বুক সেলফ</t>
  </si>
  <si>
    <t>তাকের সামান</t>
  </si>
  <si>
    <t xml:space="preserve"> পাইপ মিস্ত্রি</t>
  </si>
  <si>
    <t>রাজ মিস্ত্রি</t>
  </si>
  <si>
    <t>এস এস সামানের ভাড়া</t>
  </si>
  <si>
    <t>পাইপ মিস্ত্রি</t>
  </si>
  <si>
    <t>ভাড়া+বকশিশ</t>
  </si>
  <si>
    <t>সামান আনার ভাড়া</t>
  </si>
  <si>
    <t>তালা</t>
  </si>
  <si>
    <t>বাঁশ</t>
  </si>
  <si>
    <t>নগদ</t>
  </si>
  <si>
    <t>নগদ খরচ</t>
  </si>
  <si>
    <t>বকেয়া আদায়</t>
  </si>
  <si>
    <t>তারকাটা</t>
  </si>
  <si>
    <t>সেলো মেশিন মেরামত</t>
  </si>
  <si>
    <t>যিলকদ</t>
  </si>
  <si>
    <t>বিদুৎমিস্ত্রি</t>
  </si>
  <si>
    <t>মিস্ত্রি</t>
  </si>
  <si>
    <t>রাতে মিস্ত্রি</t>
  </si>
  <si>
    <t>যিম্মাদার হুজুর</t>
  </si>
  <si>
    <t>এস এস সামান</t>
  </si>
  <si>
    <t>এম এস সামান</t>
  </si>
  <si>
    <t>যিলকাদ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</si>
</sst>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5000445]0"/>
    <numFmt numFmtId="166" formatCode="_-* #,##0_-;\-* #,##0_-;_-* &quot;-&quot;??_-;_-@_-"/>
    <numFmt numFmtId="167" formatCode="[$-1170000]B2dd/mm/yy;@"/>
    <numFmt numFmtId="168" formatCode="d/m/yy;@"/>
    <numFmt numFmtId="169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SolaimanLipi"/>
      <family val="4"/>
    </font>
    <font>
      <sz val="11"/>
      <color theme="1"/>
      <name val="SolaimanLipi"/>
      <family val="4"/>
    </font>
    <font>
      <sz val="22"/>
      <color theme="1"/>
      <name val="SolaimanLipi"/>
      <family val="4"/>
    </font>
    <font>
      <sz val="11"/>
      <color rgb="FF00B050"/>
      <name val="SolaimanLipi"/>
      <family val="4"/>
    </font>
    <font>
      <sz val="11"/>
      <color theme="1"/>
      <name val="AF_Diwani"/>
      <family val="2"/>
      <charset val="1"/>
    </font>
    <font>
      <sz val="11"/>
      <color theme="1"/>
      <name val="SutonnyMJ"/>
    </font>
    <font>
      <sz val="11"/>
      <color theme="1"/>
      <name val="GangaSagarMJ"/>
    </font>
    <font>
      <sz val="11"/>
      <name val="SolaimanLipi"/>
      <family val="4"/>
    </font>
    <font>
      <sz val="11"/>
      <name val="Calibri"/>
      <family val="2"/>
      <scheme val="minor"/>
    </font>
    <font>
      <sz val="14"/>
      <color rgb="FFFF0000"/>
      <name val="SolaimanLipi"/>
      <family val="4"/>
    </font>
    <font>
      <sz val="11"/>
      <color theme="1"/>
      <name val="AF_Diwani"/>
      <family val="2"/>
      <charset val="178"/>
    </font>
    <font>
      <sz val="18"/>
      <color theme="1"/>
      <name val="SolaimanLipi"/>
      <family val="4"/>
    </font>
    <font>
      <sz val="16"/>
      <color rgb="FF00B050"/>
      <name val="SolaimanLipi"/>
      <family val="4"/>
    </font>
    <font>
      <sz val="11"/>
      <color theme="1"/>
      <name val="SutonnyOMJ"/>
    </font>
    <font>
      <sz val="14"/>
      <color theme="1"/>
      <name val="SutonnyOMJ"/>
    </font>
    <font>
      <sz val="12"/>
      <color theme="1"/>
      <name val="SolaimanLipi"/>
      <family val="4"/>
    </font>
    <font>
      <sz val="14"/>
      <color theme="1"/>
      <name val="SolaimanLipi"/>
      <family val="4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SolaimanLipi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4" fillId="0" borderId="0"/>
    <xf numFmtId="0" fontId="3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5" fillId="0" borderId="0" xfId="0" applyNumberFormat="1" applyFont="1"/>
    <xf numFmtId="166" fontId="5" fillId="0" borderId="0" xfId="1" applyNumberFormat="1" applyFont="1"/>
    <xf numFmtId="166" fontId="0" fillId="0" borderId="0" xfId="1" applyNumberFormat="1" applyFont="1"/>
    <xf numFmtId="3" fontId="7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66" fontId="0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3" fontId="0" fillId="0" borderId="0" xfId="0" applyNumberFormat="1" applyAlignment="1">
      <alignment horizontal="right" vertical="center"/>
    </xf>
    <xf numFmtId="0" fontId="4" fillId="0" borderId="0" xfId="0" applyFont="1" applyAlignment="1">
      <alignment vertical="center"/>
    </xf>
    <xf numFmtId="3" fontId="2" fillId="0" borderId="0" xfId="0" applyNumberFormat="1" applyFont="1" applyAlignment="1">
      <alignment horizontal="right"/>
    </xf>
    <xf numFmtId="3" fontId="0" fillId="0" borderId="0" xfId="0" applyNumberFormat="1"/>
    <xf numFmtId="3" fontId="2" fillId="0" borderId="0" xfId="0" applyNumberFormat="1" applyFont="1"/>
    <xf numFmtId="166" fontId="5" fillId="0" borderId="0" xfId="1" applyNumberFormat="1" applyFont="1" applyAlignment="1"/>
    <xf numFmtId="167" fontId="9" fillId="0" borderId="1" xfId="3" applyNumberFormat="1" applyFont="1" applyBorder="1" applyAlignment="1">
      <alignment horizontal="center"/>
    </xf>
    <xf numFmtId="168" fontId="9" fillId="0" borderId="1" xfId="3" applyNumberFormat="1" applyFont="1" applyBorder="1" applyAlignment="1">
      <alignment horizontal="center"/>
    </xf>
    <xf numFmtId="166" fontId="12" fillId="0" borderId="0" xfId="1" applyNumberFormat="1" applyFont="1" applyAlignment="1">
      <alignment horizontal="center"/>
    </xf>
    <xf numFmtId="0" fontId="6" fillId="0" borderId="0" xfId="0" applyFont="1" applyAlignment="1">
      <alignment horizontal="right" vertical="center"/>
    </xf>
    <xf numFmtId="166" fontId="2" fillId="0" borderId="0" xfId="1" applyNumberFormat="1" applyFont="1"/>
    <xf numFmtId="166" fontId="12" fillId="0" borderId="0" xfId="1" applyNumberFormat="1" applyFont="1"/>
    <xf numFmtId="166" fontId="11" fillId="0" borderId="0" xfId="1" applyNumberFormat="1" applyFont="1" applyAlignment="1">
      <alignment horizontal="center"/>
    </xf>
    <xf numFmtId="0" fontId="18" fillId="0" borderId="0" xfId="4" applyFont="1" applyAlignment="1">
      <alignment horizontal="left"/>
    </xf>
    <xf numFmtId="0" fontId="3" fillId="0" borderId="0" xfId="4"/>
    <xf numFmtId="0" fontId="17" fillId="0" borderId="0" xfId="4" applyFont="1"/>
    <xf numFmtId="0" fontId="3" fillId="0" borderId="0" xfId="4" applyAlignment="1">
      <alignment horizontal="left"/>
    </xf>
    <xf numFmtId="0" fontId="18" fillId="0" borderId="0" xfId="4" applyFont="1"/>
    <xf numFmtId="0" fontId="5" fillId="0" borderId="0" xfId="0" applyFont="1" applyAlignment="1">
      <alignment horizontal="left"/>
    </xf>
    <xf numFmtId="166" fontId="17" fillId="0" borderId="0" xfId="1" applyNumberFormat="1" applyFont="1"/>
    <xf numFmtId="0" fontId="19" fillId="0" borderId="0" xfId="0" applyFont="1" applyAlignment="1">
      <alignment vertical="center"/>
    </xf>
    <xf numFmtId="165" fontId="5" fillId="0" borderId="4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166" fontId="0" fillId="0" borderId="0" xfId="5" applyNumberFormat="1" applyFont="1" applyFill="1"/>
    <xf numFmtId="166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1" fillId="0" borderId="0" xfId="1" applyNumberFormat="1" applyFont="1" applyBorder="1" applyAlignment="1"/>
    <xf numFmtId="166" fontId="1" fillId="0" borderId="0" xfId="1" applyNumberFormat="1" applyFont="1" applyBorder="1"/>
    <xf numFmtId="14" fontId="0" fillId="0" borderId="0" xfId="0" applyNumberFormat="1"/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1" applyNumberFormat="1" applyFont="1" applyBorder="1" applyAlignment="1">
      <alignment horizontal="right"/>
    </xf>
    <xf numFmtId="3" fontId="1" fillId="0" borderId="0" xfId="1" applyNumberFormat="1" applyFont="1" applyFill="1" applyBorder="1" applyAlignment="1">
      <alignment horizontal="right"/>
    </xf>
    <xf numFmtId="166" fontId="1" fillId="0" borderId="0" xfId="1" applyNumberFormat="1" applyFont="1" applyFill="1" applyBorder="1"/>
    <xf numFmtId="169" fontId="0" fillId="0" borderId="0" xfId="6" applyNumberFormat="1" applyFont="1"/>
    <xf numFmtId="0" fontId="15" fillId="0" borderId="3" xfId="0" applyFont="1" applyBorder="1" applyAlignment="1">
      <alignment vertical="center" wrapText="1"/>
    </xf>
    <xf numFmtId="0" fontId="2" fillId="0" borderId="0" xfId="0" applyFont="1"/>
    <xf numFmtId="0" fontId="15" fillId="0" borderId="0" xfId="0" applyFont="1" applyAlignment="1">
      <alignment vertical="center" wrapText="1"/>
    </xf>
    <xf numFmtId="169" fontId="0" fillId="0" borderId="0" xfId="6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1" fillId="2" borderId="0" xfId="0" applyFont="1" applyFill="1"/>
    <xf numFmtId="166" fontId="21" fillId="2" borderId="0" xfId="0" applyNumberFormat="1" applyFont="1" applyFill="1"/>
    <xf numFmtId="0" fontId="19" fillId="0" borderId="0" xfId="0" applyFont="1" applyAlignment="1">
      <alignment horizontal="center"/>
    </xf>
    <xf numFmtId="166" fontId="22" fillId="0" borderId="0" xfId="1" applyNumberFormat="1" applyFont="1" applyBorder="1"/>
    <xf numFmtId="0" fontId="19" fillId="0" borderId="0" xfId="0" applyFont="1" applyAlignment="1">
      <alignment horizontal="center" vertical="center"/>
    </xf>
    <xf numFmtId="169" fontId="22" fillId="0" borderId="0" xfId="6" applyNumberFormat="1" applyFont="1"/>
    <xf numFmtId="169" fontId="22" fillId="0" borderId="0" xfId="6" applyNumberFormat="1" applyFont="1" applyBorder="1" applyAlignment="1"/>
    <xf numFmtId="169" fontId="15" fillId="0" borderId="0" xfId="6" applyNumberFormat="1" applyFont="1" applyBorder="1" applyAlignment="1">
      <alignment vertical="center" wrapText="1"/>
    </xf>
    <xf numFmtId="169" fontId="15" fillId="0" borderId="0" xfId="6" applyNumberFormat="1" applyFont="1" applyAlignment="1">
      <alignment horizontal="center" vertical="center" wrapText="1"/>
    </xf>
    <xf numFmtId="169" fontId="5" fillId="0" borderId="0" xfId="6" applyNumberFormat="1" applyFont="1" applyAlignment="1">
      <alignment horizontal="center" vertical="center" wrapText="1"/>
    </xf>
    <xf numFmtId="169" fontId="6" fillId="0" borderId="0" xfId="6" applyNumberFormat="1" applyFont="1" applyAlignment="1">
      <alignment vertical="center"/>
    </xf>
    <xf numFmtId="169" fontId="4" fillId="0" borderId="0" xfId="6" applyNumberFormat="1" applyFont="1" applyAlignment="1">
      <alignment horizontal="center" vertical="center"/>
    </xf>
    <xf numFmtId="169" fontId="0" fillId="0" borderId="0" xfId="6" applyNumberFormat="1" applyFont="1" applyAlignment="1">
      <alignment horizontal="right" vertical="center"/>
    </xf>
    <xf numFmtId="169" fontId="5" fillId="0" borderId="0" xfId="6" applyNumberFormat="1" applyFont="1"/>
    <xf numFmtId="169" fontId="17" fillId="0" borderId="0" xfId="6" applyNumberFormat="1" applyFont="1"/>
    <xf numFmtId="169" fontId="3" fillId="0" borderId="0" xfId="6" applyNumberFormat="1" applyFont="1"/>
    <xf numFmtId="0" fontId="2" fillId="3" borderId="5" xfId="0" applyFont="1" applyFill="1" applyBorder="1" applyAlignment="1">
      <alignment horizontal="center"/>
    </xf>
    <xf numFmtId="0" fontId="0" fillId="3" borderId="5" xfId="0" applyFill="1" applyBorder="1"/>
    <xf numFmtId="169" fontId="0" fillId="3" borderId="5" xfId="6" applyNumberFormat="1" applyFont="1" applyFill="1" applyBorder="1"/>
    <xf numFmtId="169" fontId="0" fillId="0" borderId="0" xfId="6" applyNumberFormat="1" applyFont="1" applyFill="1"/>
    <xf numFmtId="169" fontId="5" fillId="0" borderId="0" xfId="6" applyNumberFormat="1" applyFont="1" applyFill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0" fontId="5" fillId="0" borderId="6" xfId="0" applyFont="1" applyBorder="1"/>
    <xf numFmtId="169" fontId="0" fillId="0" borderId="6" xfId="6" applyNumberFormat="1" applyFont="1" applyBorder="1"/>
    <xf numFmtId="166" fontId="0" fillId="0" borderId="6" xfId="1" applyNumberFormat="1" applyFont="1" applyBorder="1"/>
    <xf numFmtId="166" fontId="0" fillId="0" borderId="0" xfId="1" applyNumberFormat="1" applyFont="1" applyFill="1"/>
    <xf numFmtId="3" fontId="16" fillId="0" borderId="0" xfId="0" applyNumberFormat="1" applyFont="1" applyAlignment="1">
      <alignment horizontal="center"/>
    </xf>
    <xf numFmtId="169" fontId="0" fillId="0" borderId="0" xfId="6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6" fontId="2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66" fontId="13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9" fontId="22" fillId="0" borderId="0" xfId="6" applyNumberFormat="1" applyFont="1" applyAlignment="1">
      <alignment horizontal="center"/>
    </xf>
    <xf numFmtId="0" fontId="0" fillId="0" borderId="0" xfId="0" applyAlignment="1">
      <alignment horizontal="center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7">
    <cellStyle name="Comma" xfId="6" builtinId="3"/>
    <cellStyle name="Comma 2" xfId="5" xr:uid="{00000000-0005-0000-0000-000001000000}"/>
    <cellStyle name="Comma 3" xfId="1" xr:uid="{00000000-0005-0000-0000-000002000000}"/>
    <cellStyle name="Normal" xfId="0" builtinId="0"/>
    <cellStyle name="Normal 2" xfId="4" xr:uid="{00000000-0005-0000-0000-000004000000}"/>
    <cellStyle name="Normal 2 2" xfId="3" xr:uid="{00000000-0005-0000-0000-000005000000}"/>
    <cellStyle name="Normal 4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16"/>
  <sheetViews>
    <sheetView workbookViewId="0">
      <selection activeCell="Q1" sqref="Q1"/>
    </sheetView>
  </sheetViews>
  <sheetFormatPr defaultRowHeight="15"/>
  <cols>
    <col min="1" max="1" width="4.42578125" customWidth="1"/>
    <col min="2" max="2" width="11.42578125" customWidth="1"/>
    <col min="3" max="3" width="9.5703125" bestFit="1" customWidth="1"/>
    <col min="4" max="4" width="12.7109375" customWidth="1"/>
    <col min="5" max="5" width="12.42578125" customWidth="1"/>
    <col min="6" max="6" width="6.7109375" customWidth="1"/>
    <col min="11" max="11" width="14.28515625" customWidth="1"/>
    <col min="14" max="14" width="11.140625" customWidth="1"/>
    <col min="15" max="15" width="6.42578125" customWidth="1"/>
    <col min="16" max="16" width="19.85546875" customWidth="1"/>
    <col min="17" max="17" width="17.5703125" customWidth="1"/>
    <col min="19" max="19" width="11.140625" bestFit="1" customWidth="1"/>
    <col min="22" max="22" width="17.7109375" customWidth="1"/>
    <col min="23" max="23" width="17.85546875" customWidth="1"/>
  </cols>
  <sheetData>
    <row r="1" spans="2:23" ht="41.45" customHeight="1">
      <c r="F1" s="4"/>
      <c r="G1" s="4" t="s">
        <v>0</v>
      </c>
      <c r="H1" s="3"/>
      <c r="P1" s="1" t="s">
        <v>2</v>
      </c>
      <c r="Q1" s="6">
        <f>-I6</f>
        <v>105173</v>
      </c>
      <c r="R1" s="9"/>
      <c r="S1" s="93" t="s">
        <v>96</v>
      </c>
      <c r="T1" s="93"/>
      <c r="V1" s="9"/>
      <c r="W1" s="5"/>
    </row>
    <row r="2" spans="2:23">
      <c r="L2" s="1" t="s">
        <v>1</v>
      </c>
      <c r="M2" s="6"/>
      <c r="N2" s="58">
        <f>SUM(খরচ!N2)</f>
        <v>78205</v>
      </c>
      <c r="P2" s="1" t="s">
        <v>5</v>
      </c>
      <c r="Q2" s="6">
        <f>SUM(বকেয়া!$K$1)</f>
        <v>268798</v>
      </c>
      <c r="S2" s="94">
        <f>SUM(খরচ!AA3)</f>
        <v>136375</v>
      </c>
      <c r="T2" s="94"/>
      <c r="V2" s="9"/>
      <c r="W2" s="8"/>
    </row>
    <row r="3" spans="2:23" ht="18.75">
      <c r="F3" s="100" t="s">
        <v>3</v>
      </c>
      <c r="G3" s="100"/>
      <c r="L3" s="1" t="s">
        <v>4</v>
      </c>
      <c r="M3" s="6"/>
      <c r="N3" s="58">
        <f>SUM(খরচ!N3)</f>
        <v>22594</v>
      </c>
      <c r="P3" s="95" t="s">
        <v>7</v>
      </c>
      <c r="Q3" s="96">
        <f>Q2-Q1</f>
        <v>163625</v>
      </c>
      <c r="S3" s="101" t="s">
        <v>97</v>
      </c>
      <c r="T3" s="101"/>
    </row>
    <row r="4" spans="2:23" ht="15.75">
      <c r="F4" s="97">
        <f>SUM(D:D)</f>
        <v>400000</v>
      </c>
      <c r="G4" s="98"/>
      <c r="H4" s="9"/>
      <c r="I4" s="9"/>
      <c r="J4" s="9"/>
      <c r="L4" s="1" t="s">
        <v>6</v>
      </c>
      <c r="M4" s="6"/>
      <c r="N4" s="58">
        <f>SUM(খরচ!N4)</f>
        <v>245413</v>
      </c>
      <c r="P4" s="95"/>
      <c r="Q4" s="96"/>
      <c r="S4" s="102">
        <f>SUM(বকেয়া!C11:C230)</f>
        <v>100000</v>
      </c>
      <c r="T4" s="102"/>
    </row>
    <row r="5" spans="2:23">
      <c r="F5" s="100" t="s">
        <v>8</v>
      </c>
      <c r="G5" s="100"/>
      <c r="I5" s="100" t="s">
        <v>9</v>
      </c>
      <c r="J5" s="100"/>
    </row>
    <row r="6" spans="2:23" ht="18.75">
      <c r="B6" s="9" t="s">
        <v>10</v>
      </c>
      <c r="C6" s="2" t="s">
        <v>11</v>
      </c>
      <c r="D6" s="12" t="s">
        <v>12</v>
      </c>
      <c r="E6" s="2" t="s">
        <v>13</v>
      </c>
      <c r="F6" s="97">
        <f>SUM(খরচ!I2)</f>
        <v>505173</v>
      </c>
      <c r="G6" s="97"/>
      <c r="I6" s="99">
        <f>F4-F6</f>
        <v>-105173</v>
      </c>
      <c r="J6" s="99"/>
    </row>
    <row r="7" spans="2:23">
      <c r="B7" t="s">
        <v>107</v>
      </c>
      <c r="C7" s="50">
        <v>46138</v>
      </c>
      <c r="D7" s="7">
        <v>100000</v>
      </c>
      <c r="E7" s="1" t="s">
        <v>104</v>
      </c>
    </row>
    <row r="8" spans="2:23">
      <c r="B8" t="s">
        <v>107</v>
      </c>
      <c r="C8" s="50">
        <v>46139</v>
      </c>
      <c r="D8" s="7">
        <v>300000</v>
      </c>
      <c r="E8" s="1" t="s">
        <v>104</v>
      </c>
    </row>
    <row r="9" spans="2:23">
      <c r="B9" t="s">
        <v>14</v>
      </c>
      <c r="D9" s="7"/>
      <c r="E9" s="1"/>
    </row>
    <row r="10" spans="2:23">
      <c r="B10" t="s">
        <v>15</v>
      </c>
      <c r="D10" s="7"/>
    </row>
    <row r="11" spans="2:23">
      <c r="B11" t="s">
        <v>15</v>
      </c>
      <c r="D11" s="7"/>
    </row>
    <row r="12" spans="2:23">
      <c r="B12" t="s">
        <v>15</v>
      </c>
      <c r="D12" s="11"/>
    </row>
    <row r="13" spans="2:23">
      <c r="B13" t="s">
        <v>15</v>
      </c>
      <c r="D13" s="7"/>
    </row>
    <row r="14" spans="2:23">
      <c r="B14" t="s">
        <v>15</v>
      </c>
      <c r="D14" s="7"/>
    </row>
    <row r="15" spans="2:23">
      <c r="B15" t="s">
        <v>15</v>
      </c>
      <c r="D15" s="7"/>
    </row>
    <row r="16" spans="2:23">
      <c r="B16" t="s">
        <v>16</v>
      </c>
      <c r="D16" s="7"/>
    </row>
    <row r="17" spans="2:4">
      <c r="B17" t="s">
        <v>16</v>
      </c>
      <c r="D17" s="7"/>
    </row>
    <row r="18" spans="2:4">
      <c r="B18" t="s">
        <v>17</v>
      </c>
      <c r="D18" s="7"/>
    </row>
    <row r="19" spans="2:4">
      <c r="B19" t="s">
        <v>17</v>
      </c>
      <c r="D19" s="7"/>
    </row>
    <row r="20" spans="2:4">
      <c r="B20" t="s">
        <v>17</v>
      </c>
      <c r="D20" s="7"/>
    </row>
    <row r="21" spans="2:4">
      <c r="B21" t="s">
        <v>18</v>
      </c>
      <c r="D21" s="7"/>
    </row>
    <row r="22" spans="2:4">
      <c r="B22" t="s">
        <v>18</v>
      </c>
      <c r="D22" s="7"/>
    </row>
    <row r="23" spans="2:4">
      <c r="B23" t="s">
        <v>18</v>
      </c>
      <c r="D23" s="7"/>
    </row>
    <row r="24" spans="2:4">
      <c r="B24" t="s">
        <v>18</v>
      </c>
      <c r="D24" s="7"/>
    </row>
    <row r="25" spans="2:4">
      <c r="B25" t="s">
        <v>19</v>
      </c>
      <c r="D25" s="7"/>
    </row>
    <row r="26" spans="2:4">
      <c r="B26" s="13" t="s">
        <v>19</v>
      </c>
      <c r="D26" s="92"/>
    </row>
    <row r="27" spans="2:4">
      <c r="B27" s="14" t="s">
        <v>20</v>
      </c>
      <c r="D27" s="7"/>
    </row>
    <row r="28" spans="2:4">
      <c r="B28" s="14" t="s">
        <v>20</v>
      </c>
      <c r="D28" s="7"/>
    </row>
    <row r="29" spans="2:4">
      <c r="B29" s="14" t="s">
        <v>21</v>
      </c>
      <c r="D29" s="7"/>
    </row>
    <row r="30" spans="2:4">
      <c r="B30" s="10" t="s">
        <v>22</v>
      </c>
      <c r="D30" s="7"/>
    </row>
    <row r="31" spans="2:4">
      <c r="B31" s="10" t="s">
        <v>23</v>
      </c>
      <c r="D31" s="7"/>
    </row>
    <row r="32" spans="2:4">
      <c r="B32" s="10" t="s">
        <v>23</v>
      </c>
      <c r="D32" s="7"/>
    </row>
    <row r="33" spans="4:4">
      <c r="D33" s="7"/>
    </row>
    <row r="34" spans="4:4">
      <c r="D34" s="7"/>
    </row>
    <row r="35" spans="4:4">
      <c r="D35" s="7"/>
    </row>
    <row r="36" spans="4:4">
      <c r="D36" s="7"/>
    </row>
    <row r="37" spans="4:4">
      <c r="D37" s="7"/>
    </row>
    <row r="38" spans="4:4">
      <c r="D38" s="7"/>
    </row>
    <row r="39" spans="4:4">
      <c r="D39" s="7"/>
    </row>
    <row r="40" spans="4:4">
      <c r="D40" s="7"/>
    </row>
    <row r="41" spans="4:4">
      <c r="D41" s="7"/>
    </row>
    <row r="42" spans="4:4">
      <c r="D42" s="7"/>
    </row>
    <row r="43" spans="4:4">
      <c r="D43" s="7"/>
    </row>
    <row r="44" spans="4:4">
      <c r="D44" s="7"/>
    </row>
    <row r="45" spans="4:4">
      <c r="D45" s="7"/>
    </row>
    <row r="46" spans="4:4">
      <c r="D46" s="7"/>
    </row>
    <row r="47" spans="4:4">
      <c r="D47" s="7"/>
    </row>
    <row r="48" spans="4:4">
      <c r="D48" s="7"/>
    </row>
    <row r="49" spans="4:4">
      <c r="D49" s="7"/>
    </row>
    <row r="50" spans="4:4">
      <c r="D50" s="7"/>
    </row>
    <row r="51" spans="4:4">
      <c r="D51" s="7"/>
    </row>
    <row r="52" spans="4:4">
      <c r="D52" s="7"/>
    </row>
    <row r="53" spans="4:4">
      <c r="D53" s="7"/>
    </row>
    <row r="54" spans="4:4">
      <c r="D54" s="7"/>
    </row>
    <row r="55" spans="4:4">
      <c r="D55" s="7"/>
    </row>
    <row r="56" spans="4:4">
      <c r="D56" s="7"/>
    </row>
    <row r="57" spans="4:4">
      <c r="D57" s="7"/>
    </row>
    <row r="58" spans="4:4">
      <c r="D58" s="7"/>
    </row>
    <row r="59" spans="4:4">
      <c r="D59" s="7"/>
    </row>
    <row r="60" spans="4:4">
      <c r="D60" s="7"/>
    </row>
    <row r="61" spans="4:4">
      <c r="D61" s="7"/>
    </row>
    <row r="62" spans="4:4">
      <c r="D62" s="7"/>
    </row>
    <row r="63" spans="4:4">
      <c r="D63" s="7"/>
    </row>
    <row r="64" spans="4:4">
      <c r="D64" s="7"/>
    </row>
    <row r="65" spans="4:4">
      <c r="D65" s="7"/>
    </row>
    <row r="66" spans="4:4">
      <c r="D66" s="7"/>
    </row>
    <row r="67" spans="4:4">
      <c r="D67" s="7"/>
    </row>
    <row r="68" spans="4:4">
      <c r="D68" s="7"/>
    </row>
    <row r="69" spans="4:4">
      <c r="D69" s="7"/>
    </row>
    <row r="70" spans="4:4">
      <c r="D70" s="7"/>
    </row>
    <row r="71" spans="4:4">
      <c r="D71" s="7"/>
    </row>
    <row r="72" spans="4:4">
      <c r="D72" s="7"/>
    </row>
    <row r="73" spans="4:4">
      <c r="D73" s="7"/>
    </row>
    <row r="74" spans="4:4">
      <c r="D74" s="7"/>
    </row>
    <row r="75" spans="4:4">
      <c r="D75" s="7"/>
    </row>
    <row r="76" spans="4:4">
      <c r="D76" s="7"/>
    </row>
    <row r="77" spans="4:4">
      <c r="D77" s="7"/>
    </row>
    <row r="78" spans="4:4">
      <c r="D78" s="7"/>
    </row>
    <row r="79" spans="4:4">
      <c r="D79" s="7"/>
    </row>
    <row r="80" spans="4:4">
      <c r="D80" s="7"/>
    </row>
    <row r="81" spans="4:4">
      <c r="D81" s="7"/>
    </row>
    <row r="82" spans="4:4">
      <c r="D82" s="7"/>
    </row>
    <row r="83" spans="4:4">
      <c r="D83" s="7"/>
    </row>
    <row r="84" spans="4:4">
      <c r="D84" s="7"/>
    </row>
    <row r="85" spans="4:4">
      <c r="D85" s="7"/>
    </row>
    <row r="86" spans="4:4">
      <c r="D86" s="7"/>
    </row>
    <row r="87" spans="4:4">
      <c r="D87" s="7"/>
    </row>
    <row r="88" spans="4:4">
      <c r="D88" s="7"/>
    </row>
    <row r="89" spans="4:4">
      <c r="D89" s="7"/>
    </row>
    <row r="90" spans="4:4">
      <c r="D90" s="7"/>
    </row>
    <row r="91" spans="4:4">
      <c r="D91" s="7"/>
    </row>
    <row r="92" spans="4:4">
      <c r="D92" s="7"/>
    </row>
    <row r="93" spans="4:4">
      <c r="D93" s="7"/>
    </row>
    <row r="94" spans="4:4">
      <c r="D94" s="7"/>
    </row>
    <row r="95" spans="4:4">
      <c r="D95" s="7"/>
    </row>
    <row r="96" spans="4:4">
      <c r="D96" s="7"/>
    </row>
    <row r="97" spans="4:4">
      <c r="D97" s="7"/>
    </row>
    <row r="98" spans="4:4">
      <c r="D98" s="7"/>
    </row>
    <row r="99" spans="4:4">
      <c r="D99" s="7"/>
    </row>
    <row r="100" spans="4:4">
      <c r="D100" s="7"/>
    </row>
    <row r="101" spans="4:4">
      <c r="D101" s="7"/>
    </row>
    <row r="102" spans="4:4">
      <c r="D102" s="7"/>
    </row>
    <row r="103" spans="4:4">
      <c r="D103" s="7"/>
    </row>
    <row r="104" spans="4:4">
      <c r="D104" s="7"/>
    </row>
    <row r="105" spans="4:4">
      <c r="D105" s="7"/>
    </row>
    <row r="106" spans="4:4">
      <c r="D106" s="7"/>
    </row>
    <row r="107" spans="4:4">
      <c r="D107" s="7"/>
    </row>
    <row r="108" spans="4:4">
      <c r="D108" s="7"/>
    </row>
    <row r="109" spans="4:4">
      <c r="D109" s="7"/>
    </row>
    <row r="110" spans="4:4">
      <c r="D110" s="7"/>
    </row>
    <row r="111" spans="4:4">
      <c r="D111" s="7"/>
    </row>
    <row r="112" spans="4:4">
      <c r="D112" s="7"/>
    </row>
    <row r="113" spans="4:4">
      <c r="D113" s="7"/>
    </row>
    <row r="114" spans="4:4">
      <c r="D114" s="7"/>
    </row>
    <row r="115" spans="4:4">
      <c r="D115" s="7"/>
    </row>
    <row r="116" spans="4:4">
      <c r="D116" s="7"/>
    </row>
  </sheetData>
  <mergeCells count="12">
    <mergeCell ref="S1:T1"/>
    <mergeCell ref="S2:T2"/>
    <mergeCell ref="P3:P4"/>
    <mergeCell ref="Q3:Q4"/>
    <mergeCell ref="F6:G6"/>
    <mergeCell ref="F4:G4"/>
    <mergeCell ref="I6:J6"/>
    <mergeCell ref="F3:G3"/>
    <mergeCell ref="I5:J5"/>
    <mergeCell ref="F5:G5"/>
    <mergeCell ref="S3:T3"/>
    <mergeCell ref="S4:T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95"/>
  <sheetViews>
    <sheetView workbookViewId="0">
      <pane ySplit="4" topLeftCell="A56" activePane="bottomLeft" state="frozen"/>
      <selection pane="bottomLeft" activeCell="D78" sqref="D78"/>
    </sheetView>
  </sheetViews>
  <sheetFormatPr defaultRowHeight="15"/>
  <cols>
    <col min="2" max="2" width="9.7109375" customWidth="1"/>
    <col min="3" max="3" width="14.140625" customWidth="1"/>
    <col min="4" max="4" width="29.28515625" customWidth="1"/>
    <col min="7" max="7" width="10.140625" style="58" bestFit="1" customWidth="1"/>
    <col min="8" max="8" width="10.140625" customWidth="1"/>
    <col min="9" max="9" width="10.140625" bestFit="1" customWidth="1"/>
    <col min="10" max="10" width="15.85546875" customWidth="1"/>
    <col min="12" max="12" width="13.28515625" customWidth="1"/>
    <col min="13" max="13" width="13.7109375" customWidth="1"/>
    <col min="14" max="14" width="12.7109375" customWidth="1"/>
    <col min="15" max="15" width="16" customWidth="1"/>
    <col min="16" max="16" width="10.85546875" customWidth="1"/>
    <col min="19" max="19" width="10.28515625" customWidth="1"/>
    <col min="20" max="20" width="11.140625" customWidth="1"/>
    <col min="21" max="21" width="12.7109375" customWidth="1"/>
    <col min="22" max="22" width="12" customWidth="1"/>
    <col min="23" max="23" width="12.5703125" customWidth="1"/>
    <col min="24" max="24" width="13.85546875" customWidth="1"/>
    <col min="25" max="25" width="14" customWidth="1"/>
    <col min="26" max="26" width="11.7109375" customWidth="1"/>
    <col min="27" max="27" width="18.28515625" customWidth="1"/>
  </cols>
  <sheetData>
    <row r="1" spans="1:58" ht="19.899999999999999" customHeight="1">
      <c r="L1" s="25"/>
      <c r="M1" s="26"/>
      <c r="N1" s="23"/>
      <c r="Q1" s="15"/>
      <c r="S1" s="60" t="s">
        <v>55</v>
      </c>
      <c r="T1" t="s">
        <v>35</v>
      </c>
      <c r="U1" s="60" t="s">
        <v>55</v>
      </c>
      <c r="V1" t="s">
        <v>35</v>
      </c>
      <c r="W1" s="60" t="s">
        <v>55</v>
      </c>
      <c r="X1" t="s">
        <v>35</v>
      </c>
      <c r="Y1" s="60" t="s">
        <v>55</v>
      </c>
      <c r="Z1" t="s">
        <v>35</v>
      </c>
      <c r="AA1" s="82" t="s">
        <v>95</v>
      </c>
      <c r="AT1" s="1"/>
      <c r="AU1" s="1"/>
      <c r="AX1" s="22"/>
      <c r="AZ1" s="1"/>
      <c r="BA1" s="1"/>
      <c r="BD1" s="1"/>
      <c r="BE1" s="1"/>
    </row>
    <row r="2" spans="1:58">
      <c r="H2" t="s">
        <v>58</v>
      </c>
      <c r="I2" s="58">
        <f>SUM(H:H)</f>
        <v>505173</v>
      </c>
      <c r="M2" s="1" t="s">
        <v>1</v>
      </c>
      <c r="N2" s="62">
        <f>SUMIFS(H:H,C:C,M2)</f>
        <v>78205</v>
      </c>
      <c r="Q2" s="17"/>
      <c r="S2" t="s">
        <v>24</v>
      </c>
      <c r="T2" t="s">
        <v>24</v>
      </c>
      <c r="U2" s="9" t="s">
        <v>26</v>
      </c>
      <c r="V2" s="9" t="s">
        <v>26</v>
      </c>
      <c r="W2" s="17" t="s">
        <v>29</v>
      </c>
      <c r="X2" s="17" t="s">
        <v>29</v>
      </c>
      <c r="Y2" s="9" t="s">
        <v>28</v>
      </c>
      <c r="Z2" s="9" t="s">
        <v>28</v>
      </c>
      <c r="AA2" s="83"/>
      <c r="AP2" s="1"/>
      <c r="AQ2" s="1"/>
      <c r="AR2" s="1"/>
      <c r="AS2" s="6"/>
      <c r="AT2" s="1"/>
      <c r="AU2" s="1"/>
      <c r="AV2" s="1"/>
      <c r="AX2" s="22"/>
      <c r="AZ2" s="1"/>
      <c r="BA2" s="1"/>
      <c r="BB2" s="1"/>
      <c r="BD2" s="1"/>
      <c r="BE2" s="1"/>
      <c r="BF2" s="1"/>
    </row>
    <row r="3" spans="1:58" ht="28.5">
      <c r="C3" s="4"/>
      <c r="D3" s="4" t="s">
        <v>53</v>
      </c>
      <c r="E3" s="28"/>
      <c r="F3" s="4"/>
      <c r="G3" s="76"/>
      <c r="M3" s="1" t="s">
        <v>4</v>
      </c>
      <c r="N3" s="62">
        <f t="shared" ref="N3:N4" si="0">SUMIFS(H:H,C:C,M3)</f>
        <v>22594</v>
      </c>
      <c r="Q3" s="17"/>
      <c r="S3" s="85">
        <f>SUMIFS(H:H,J:J,S2)</f>
        <v>98072</v>
      </c>
      <c r="T3" s="9">
        <f>SUMIFS(I:I,J:J,T2)</f>
        <v>0</v>
      </c>
      <c r="U3" s="86">
        <f>SUMIFS(H:H,J:J,U2)</f>
        <v>7280</v>
      </c>
      <c r="V3" s="9">
        <f>SUMIFS(I:I,J:J,V2)</f>
        <v>0</v>
      </c>
      <c r="W3" s="17">
        <f>SUMIFS(H:H,J:J,W2)</f>
        <v>0</v>
      </c>
      <c r="X3" s="17">
        <f>SUMIFS(I:I,J:J,X2)</f>
        <v>0</v>
      </c>
      <c r="Y3" s="9">
        <f>SUMIFS(H:H,J:J,Y2)</f>
        <v>0</v>
      </c>
      <c r="Z3">
        <f>SUMIFS(I:I,J:J,Z2)</f>
        <v>0</v>
      </c>
      <c r="AA3" s="84">
        <f>SUMIFS(H:H,J:J,AA1)</f>
        <v>136375</v>
      </c>
      <c r="AS3" s="6"/>
      <c r="AT3" s="1"/>
      <c r="AU3" s="1"/>
      <c r="AZ3" s="1"/>
      <c r="BA3" s="1"/>
      <c r="BB3" s="1"/>
      <c r="BD3" s="17"/>
      <c r="BE3" s="17"/>
    </row>
    <row r="4" spans="1:58" ht="16.149999999999999" customHeight="1">
      <c r="A4" s="2" t="s">
        <v>10</v>
      </c>
      <c r="B4" s="9" t="s">
        <v>30</v>
      </c>
      <c r="C4" s="2" t="s">
        <v>31</v>
      </c>
      <c r="D4" s="20" t="s">
        <v>32</v>
      </c>
      <c r="E4" s="2" t="s">
        <v>12</v>
      </c>
      <c r="F4" s="2" t="s">
        <v>33</v>
      </c>
      <c r="G4" s="77" t="s">
        <v>34</v>
      </c>
      <c r="H4" s="31" t="s">
        <v>56</v>
      </c>
      <c r="I4" s="31" t="s">
        <v>35</v>
      </c>
      <c r="J4" s="9" t="s">
        <v>36</v>
      </c>
      <c r="K4" s="17" t="s">
        <v>37</v>
      </c>
      <c r="L4" t="s">
        <v>79</v>
      </c>
      <c r="M4" s="1" t="s">
        <v>6</v>
      </c>
      <c r="N4" s="62">
        <f t="shared" si="0"/>
        <v>245413</v>
      </c>
      <c r="S4" s="60" t="s">
        <v>55</v>
      </c>
      <c r="T4" t="s">
        <v>35</v>
      </c>
      <c r="U4" s="60" t="s">
        <v>55</v>
      </c>
      <c r="V4" t="s">
        <v>35</v>
      </c>
      <c r="W4" s="60" t="s">
        <v>55</v>
      </c>
      <c r="X4" t="s">
        <v>35</v>
      </c>
      <c r="Y4" s="60" t="s">
        <v>55</v>
      </c>
      <c r="Z4" t="s">
        <v>35</v>
      </c>
      <c r="AA4" s="83"/>
      <c r="AP4" s="1"/>
      <c r="AQ4" s="1"/>
      <c r="AR4" s="1"/>
      <c r="AS4" s="6"/>
      <c r="AT4" s="1"/>
      <c r="AU4" s="1"/>
      <c r="AV4" s="1"/>
      <c r="AZ4" s="1"/>
      <c r="BA4" s="1"/>
      <c r="BB4" s="1"/>
      <c r="BD4" s="1"/>
      <c r="BE4" s="1"/>
      <c r="BF4" s="1"/>
    </row>
    <row r="5" spans="1:58">
      <c r="A5" s="1" t="s">
        <v>44</v>
      </c>
      <c r="C5" t="s">
        <v>6</v>
      </c>
      <c r="D5" s="1" t="s">
        <v>39</v>
      </c>
      <c r="E5">
        <v>14</v>
      </c>
      <c r="G5">
        <v>505</v>
      </c>
      <c r="H5">
        <v>7070</v>
      </c>
      <c r="J5" s="9" t="s">
        <v>26</v>
      </c>
      <c r="S5" s="9" t="s">
        <v>25</v>
      </c>
      <c r="T5" s="9" t="s">
        <v>25</v>
      </c>
      <c r="U5" s="9" t="s">
        <v>27</v>
      </c>
      <c r="V5" s="9" t="s">
        <v>27</v>
      </c>
      <c r="W5" s="17" t="s">
        <v>54</v>
      </c>
      <c r="X5" s="17" t="s">
        <v>54</v>
      </c>
      <c r="Y5" s="9" t="s">
        <v>84</v>
      </c>
      <c r="Z5" s="9" t="s">
        <v>84</v>
      </c>
    </row>
    <row r="6" spans="1:58">
      <c r="A6" s="1" t="s">
        <v>44</v>
      </c>
      <c r="B6" s="50"/>
      <c r="D6" s="1" t="s">
        <v>57</v>
      </c>
      <c r="E6">
        <v>1</v>
      </c>
      <c r="G6"/>
      <c r="H6" s="7">
        <v>210</v>
      </c>
      <c r="J6" s="9" t="s">
        <v>26</v>
      </c>
      <c r="S6">
        <f>SUMIFS(H:H,J:J,S5)</f>
        <v>0</v>
      </c>
      <c r="T6">
        <f>SUMIFS(I:I,J:J,T5)</f>
        <v>0</v>
      </c>
      <c r="U6" s="85">
        <f>SUMIFS(H:H,J:J,U5)</f>
        <v>138970</v>
      </c>
      <c r="V6">
        <f>SUMIFS(I:I,J:J,V5)</f>
        <v>0</v>
      </c>
      <c r="W6" s="85">
        <f>SUMIFS(H:H,J:J,W5)</f>
        <v>72476</v>
      </c>
      <c r="X6">
        <f>SUMIFS(I:I,J:J,X5)</f>
        <v>0</v>
      </c>
      <c r="Y6" s="58">
        <f>SUMIFS(H:H,J:J,Y5)</f>
        <v>52000</v>
      </c>
      <c r="Z6">
        <f>SUMIFS(I:I,J:J,Z5)</f>
        <v>0</v>
      </c>
    </row>
    <row r="7" spans="1:58">
      <c r="A7" s="1" t="s">
        <v>44</v>
      </c>
      <c r="B7" s="50"/>
      <c r="C7" t="s">
        <v>6</v>
      </c>
      <c r="D7" s="1" t="s">
        <v>66</v>
      </c>
      <c r="G7"/>
      <c r="H7" s="7">
        <v>32381</v>
      </c>
      <c r="J7" s="9" t="s">
        <v>24</v>
      </c>
    </row>
    <row r="8" spans="1:58">
      <c r="A8" s="1" t="s">
        <v>44</v>
      </c>
      <c r="B8" s="50"/>
      <c r="D8" s="1" t="s">
        <v>67</v>
      </c>
      <c r="G8"/>
      <c r="H8" s="7">
        <v>11100</v>
      </c>
      <c r="J8" s="9" t="s">
        <v>24</v>
      </c>
    </row>
    <row r="9" spans="1:58">
      <c r="A9" s="1" t="s">
        <v>14</v>
      </c>
      <c r="B9" s="50">
        <v>46111</v>
      </c>
      <c r="D9" s="1" t="s">
        <v>59</v>
      </c>
      <c r="E9">
        <v>4</v>
      </c>
      <c r="G9">
        <v>5200</v>
      </c>
      <c r="H9" s="7">
        <v>5200</v>
      </c>
      <c r="J9" s="9" t="s">
        <v>24</v>
      </c>
    </row>
    <row r="10" spans="1:58">
      <c r="A10" s="1" t="s">
        <v>14</v>
      </c>
      <c r="B10" s="50">
        <v>46111</v>
      </c>
      <c r="D10" s="1" t="s">
        <v>60</v>
      </c>
      <c r="E10">
        <v>8</v>
      </c>
      <c r="G10">
        <v>4350</v>
      </c>
      <c r="H10" s="7">
        <v>8700</v>
      </c>
      <c r="J10" s="9" t="s">
        <v>24</v>
      </c>
    </row>
    <row r="11" spans="1:58">
      <c r="A11" s="1" t="s">
        <v>14</v>
      </c>
      <c r="B11" s="50">
        <v>46111</v>
      </c>
      <c r="D11" s="1" t="s">
        <v>61</v>
      </c>
      <c r="E11">
        <v>2</v>
      </c>
      <c r="G11">
        <v>45</v>
      </c>
      <c r="H11" s="7">
        <v>90</v>
      </c>
      <c r="J11" s="9" t="s">
        <v>24</v>
      </c>
    </row>
    <row r="12" spans="1:58">
      <c r="A12" s="1" t="s">
        <v>14</v>
      </c>
      <c r="B12" s="50">
        <v>46111</v>
      </c>
      <c r="D12" s="1" t="s">
        <v>62</v>
      </c>
      <c r="E12">
        <v>10</v>
      </c>
      <c r="G12">
        <v>20</v>
      </c>
      <c r="H12" s="7">
        <v>200</v>
      </c>
      <c r="J12" s="9" t="s">
        <v>24</v>
      </c>
    </row>
    <row r="13" spans="1:58">
      <c r="A13" s="1" t="s">
        <v>14</v>
      </c>
      <c r="B13" s="50">
        <v>46111</v>
      </c>
      <c r="D13" s="1" t="s">
        <v>63</v>
      </c>
      <c r="E13">
        <v>1</v>
      </c>
      <c r="G13"/>
      <c r="H13" s="7">
        <v>1200</v>
      </c>
      <c r="J13" s="9" t="s">
        <v>24</v>
      </c>
    </row>
    <row r="14" spans="1:58">
      <c r="A14" s="1" t="s">
        <v>14</v>
      </c>
      <c r="B14" s="50">
        <v>46111</v>
      </c>
      <c r="D14" s="1" t="s">
        <v>64</v>
      </c>
      <c r="E14">
        <v>1</v>
      </c>
      <c r="G14"/>
      <c r="H14" s="7">
        <v>900</v>
      </c>
      <c r="J14" s="9" t="s">
        <v>24</v>
      </c>
    </row>
    <row r="15" spans="1:58">
      <c r="A15" s="1" t="s">
        <v>14</v>
      </c>
      <c r="B15" s="50">
        <v>46120</v>
      </c>
      <c r="C15" t="s">
        <v>6</v>
      </c>
      <c r="D15" s="1" t="s">
        <v>69</v>
      </c>
      <c r="G15"/>
      <c r="H15" s="7">
        <v>19300</v>
      </c>
      <c r="J15" s="9" t="s">
        <v>27</v>
      </c>
      <c r="K15">
        <v>31</v>
      </c>
    </row>
    <row r="16" spans="1:58">
      <c r="A16" s="1" t="s">
        <v>14</v>
      </c>
      <c r="B16" s="50">
        <v>46120</v>
      </c>
      <c r="C16" t="s">
        <v>6</v>
      </c>
      <c r="D16" s="1" t="s">
        <v>69</v>
      </c>
      <c r="G16"/>
      <c r="H16" s="7">
        <v>2700</v>
      </c>
      <c r="J16" s="9" t="s">
        <v>27</v>
      </c>
      <c r="K16">
        <v>31</v>
      </c>
    </row>
    <row r="17" spans="1:12">
      <c r="A17" s="1" t="s">
        <v>14</v>
      </c>
      <c r="B17" s="50">
        <v>46120</v>
      </c>
      <c r="C17" t="s">
        <v>6</v>
      </c>
      <c r="D17" s="1" t="s">
        <v>70</v>
      </c>
      <c r="G17"/>
      <c r="H17" s="7">
        <v>112550</v>
      </c>
      <c r="J17" s="9" t="s">
        <v>27</v>
      </c>
      <c r="K17">
        <v>53</v>
      </c>
    </row>
    <row r="18" spans="1:12">
      <c r="A18" s="1" t="s">
        <v>14</v>
      </c>
      <c r="B18" s="50">
        <v>46120</v>
      </c>
      <c r="D18" s="1" t="s">
        <v>68</v>
      </c>
      <c r="G18"/>
      <c r="H18" s="7">
        <v>9708</v>
      </c>
      <c r="J18" s="17" t="s">
        <v>54</v>
      </c>
      <c r="K18">
        <v>37</v>
      </c>
    </row>
    <row r="19" spans="1:12">
      <c r="A19" s="1" t="s">
        <v>14</v>
      </c>
      <c r="B19" s="50">
        <v>46120</v>
      </c>
      <c r="D19" s="1" t="s">
        <v>68</v>
      </c>
      <c r="G19"/>
      <c r="H19" s="7">
        <v>5460</v>
      </c>
      <c r="J19" s="17" t="s">
        <v>54</v>
      </c>
      <c r="K19">
        <v>38</v>
      </c>
    </row>
    <row r="20" spans="1:12">
      <c r="A20" s="1" t="s">
        <v>14</v>
      </c>
      <c r="B20" s="50">
        <v>46120</v>
      </c>
      <c r="D20" s="1" t="s">
        <v>68</v>
      </c>
      <c r="G20"/>
      <c r="H20" s="7">
        <v>15394</v>
      </c>
      <c r="J20" s="17" t="s">
        <v>54</v>
      </c>
      <c r="K20">
        <v>39</v>
      </c>
    </row>
    <row r="21" spans="1:12">
      <c r="A21" s="1" t="s">
        <v>14</v>
      </c>
      <c r="B21" s="50">
        <v>46120</v>
      </c>
      <c r="D21" s="1" t="s">
        <v>68</v>
      </c>
      <c r="G21"/>
      <c r="H21" s="7">
        <v>6660</v>
      </c>
      <c r="J21" s="17" t="s">
        <v>54</v>
      </c>
      <c r="K21">
        <v>40</v>
      </c>
    </row>
    <row r="22" spans="1:12">
      <c r="A22" s="1" t="s">
        <v>14</v>
      </c>
      <c r="B22" s="50">
        <v>46120</v>
      </c>
      <c r="D22" s="1" t="s">
        <v>68</v>
      </c>
      <c r="G22"/>
      <c r="H22" s="7">
        <v>3729</v>
      </c>
      <c r="J22" s="17" t="s">
        <v>54</v>
      </c>
      <c r="K22">
        <v>41</v>
      </c>
    </row>
    <row r="23" spans="1:12">
      <c r="A23" s="1" t="s">
        <v>14</v>
      </c>
      <c r="B23" s="50">
        <v>46120</v>
      </c>
      <c r="D23" s="1" t="s">
        <v>68</v>
      </c>
      <c r="G23"/>
      <c r="H23" s="7">
        <v>18280</v>
      </c>
      <c r="J23" s="17" t="s">
        <v>54</v>
      </c>
      <c r="K23">
        <v>42</v>
      </c>
    </row>
    <row r="24" spans="1:12">
      <c r="A24" s="1" t="s">
        <v>14</v>
      </c>
      <c r="B24" s="50">
        <v>46120</v>
      </c>
      <c r="C24" t="s">
        <v>1</v>
      </c>
      <c r="D24" s="37" t="s">
        <v>71</v>
      </c>
      <c r="H24" s="7">
        <v>37000</v>
      </c>
      <c r="J24" t="s">
        <v>95</v>
      </c>
      <c r="K24">
        <v>21</v>
      </c>
      <c r="L24" t="s">
        <v>72</v>
      </c>
    </row>
    <row r="25" spans="1:12">
      <c r="A25" s="1" t="s">
        <v>14</v>
      </c>
      <c r="B25" s="50">
        <v>46120</v>
      </c>
      <c r="C25" t="s">
        <v>1</v>
      </c>
      <c r="D25" s="37" t="s">
        <v>71</v>
      </c>
      <c r="H25" s="7">
        <v>3140</v>
      </c>
      <c r="J25" t="s">
        <v>95</v>
      </c>
      <c r="K25">
        <v>22</v>
      </c>
      <c r="L25" t="s">
        <v>72</v>
      </c>
    </row>
    <row r="26" spans="1:12">
      <c r="A26" s="1" t="s">
        <v>14</v>
      </c>
      <c r="B26" s="50">
        <v>46120</v>
      </c>
      <c r="C26" t="s">
        <v>1</v>
      </c>
      <c r="D26" s="37" t="s">
        <v>71</v>
      </c>
      <c r="H26" s="7">
        <v>8530</v>
      </c>
      <c r="J26" t="s">
        <v>95</v>
      </c>
      <c r="K26">
        <v>23</v>
      </c>
      <c r="L26" t="s">
        <v>72</v>
      </c>
    </row>
    <row r="27" spans="1:12">
      <c r="A27" s="1" t="s">
        <v>14</v>
      </c>
      <c r="B27" s="50">
        <v>46120</v>
      </c>
      <c r="C27" t="s">
        <v>1</v>
      </c>
      <c r="D27" s="37" t="s">
        <v>71</v>
      </c>
      <c r="H27" s="7">
        <v>4000</v>
      </c>
      <c r="J27" t="s">
        <v>95</v>
      </c>
      <c r="K27">
        <v>24</v>
      </c>
      <c r="L27" t="s">
        <v>72</v>
      </c>
    </row>
    <row r="28" spans="1:12">
      <c r="A28" s="1" t="s">
        <v>14</v>
      </c>
      <c r="B28" s="50">
        <v>46120</v>
      </c>
      <c r="C28" t="s">
        <v>1</v>
      </c>
      <c r="D28" s="37" t="s">
        <v>57</v>
      </c>
      <c r="E28">
        <v>1</v>
      </c>
      <c r="H28" s="7">
        <v>1470</v>
      </c>
      <c r="J28" t="s">
        <v>95</v>
      </c>
      <c r="L28" t="s">
        <v>72</v>
      </c>
    </row>
    <row r="29" spans="1:12">
      <c r="A29" s="1" t="s">
        <v>14</v>
      </c>
      <c r="B29" s="50">
        <v>46120</v>
      </c>
      <c r="C29" t="s">
        <v>1</v>
      </c>
      <c r="D29" s="37" t="s">
        <v>73</v>
      </c>
      <c r="E29">
        <v>1</v>
      </c>
      <c r="G29" s="58">
        <v>550</v>
      </c>
      <c r="H29" s="7">
        <f>E29*G29</f>
        <v>550</v>
      </c>
      <c r="J29" t="s">
        <v>95</v>
      </c>
      <c r="L29" t="s">
        <v>72</v>
      </c>
    </row>
    <row r="30" spans="1:12">
      <c r="A30" s="1" t="s">
        <v>14</v>
      </c>
      <c r="B30" s="50">
        <v>46120</v>
      </c>
      <c r="D30" s="37" t="s">
        <v>74</v>
      </c>
      <c r="E30">
        <v>1</v>
      </c>
      <c r="H30" s="7">
        <v>80</v>
      </c>
      <c r="J30" t="s">
        <v>95</v>
      </c>
      <c r="L30" t="s">
        <v>72</v>
      </c>
    </row>
    <row r="31" spans="1:12">
      <c r="A31" s="1" t="s">
        <v>14</v>
      </c>
      <c r="B31" s="50">
        <v>46120</v>
      </c>
      <c r="D31" s="37" t="s">
        <v>75</v>
      </c>
      <c r="E31">
        <v>2</v>
      </c>
      <c r="H31" s="7">
        <v>100</v>
      </c>
      <c r="J31" t="s">
        <v>95</v>
      </c>
      <c r="L31" t="s">
        <v>72</v>
      </c>
    </row>
    <row r="32" spans="1:12">
      <c r="A32" s="1" t="s">
        <v>14</v>
      </c>
      <c r="B32" s="50">
        <v>46120</v>
      </c>
      <c r="C32" t="s">
        <v>6</v>
      </c>
      <c r="D32" s="37" t="s">
        <v>76</v>
      </c>
      <c r="E32">
        <v>3</v>
      </c>
      <c r="G32" s="58">
        <v>3700</v>
      </c>
      <c r="H32" s="7">
        <f>E32*G32</f>
        <v>11100</v>
      </c>
      <c r="J32" t="s">
        <v>95</v>
      </c>
      <c r="L32" t="s">
        <v>77</v>
      </c>
    </row>
    <row r="33" spans="1:21">
      <c r="A33" s="1" t="s">
        <v>14</v>
      </c>
      <c r="B33" s="50">
        <v>46120</v>
      </c>
      <c r="C33" t="s">
        <v>4</v>
      </c>
      <c r="D33" s="37" t="s">
        <v>78</v>
      </c>
      <c r="E33">
        <v>1</v>
      </c>
      <c r="G33" s="58">
        <v>9500</v>
      </c>
      <c r="H33" s="7">
        <f>E33*G33</f>
        <v>9500</v>
      </c>
      <c r="J33" t="s">
        <v>95</v>
      </c>
      <c r="L33" t="s">
        <v>77</v>
      </c>
    </row>
    <row r="34" spans="1:21">
      <c r="A34" s="1" t="s">
        <v>14</v>
      </c>
      <c r="B34" s="50">
        <v>46121</v>
      </c>
      <c r="C34" t="s">
        <v>4</v>
      </c>
      <c r="D34" s="37" t="s">
        <v>81</v>
      </c>
      <c r="E34">
        <v>1</v>
      </c>
      <c r="G34"/>
      <c r="H34">
        <v>3514</v>
      </c>
      <c r="J34" s="9" t="s">
        <v>24</v>
      </c>
    </row>
    <row r="35" spans="1:21">
      <c r="A35" s="1" t="s">
        <v>14</v>
      </c>
      <c r="B35" s="50">
        <v>46121</v>
      </c>
      <c r="C35" t="s">
        <v>4</v>
      </c>
      <c r="D35" s="37" t="s">
        <v>82</v>
      </c>
      <c r="G35">
        <v>5974</v>
      </c>
      <c r="H35">
        <v>2460</v>
      </c>
      <c r="J35" s="9" t="s">
        <v>24</v>
      </c>
    </row>
    <row r="36" spans="1:21">
      <c r="A36" s="1" t="s">
        <v>14</v>
      </c>
      <c r="B36" s="50">
        <v>46121</v>
      </c>
      <c r="C36" t="s">
        <v>1</v>
      </c>
      <c r="D36" s="37" t="s">
        <v>80</v>
      </c>
      <c r="E36">
        <v>1</v>
      </c>
      <c r="G36"/>
      <c r="H36" s="7">
        <v>6300</v>
      </c>
      <c r="J36" s="9" t="s">
        <v>24</v>
      </c>
    </row>
    <row r="37" spans="1:21">
      <c r="A37" s="1" t="s">
        <v>14</v>
      </c>
      <c r="B37" s="50">
        <v>46124</v>
      </c>
      <c r="C37" t="s">
        <v>4</v>
      </c>
      <c r="D37" s="37" t="s">
        <v>38</v>
      </c>
      <c r="E37">
        <v>1</v>
      </c>
      <c r="G37" s="58">
        <v>700</v>
      </c>
      <c r="H37" s="7">
        <f>E37*G37</f>
        <v>700</v>
      </c>
      <c r="J37" t="s">
        <v>95</v>
      </c>
      <c r="L37" t="s">
        <v>83</v>
      </c>
    </row>
    <row r="38" spans="1:21">
      <c r="A38" s="1" t="s">
        <v>14</v>
      </c>
      <c r="B38" s="50">
        <v>46124</v>
      </c>
      <c r="C38" t="s">
        <v>1</v>
      </c>
      <c r="D38" s="37" t="s">
        <v>87</v>
      </c>
      <c r="H38" s="7">
        <v>1000</v>
      </c>
      <c r="J38" t="s">
        <v>95</v>
      </c>
      <c r="L38" t="s">
        <v>72</v>
      </c>
    </row>
    <row r="39" spans="1:21">
      <c r="A39" s="1" t="s">
        <v>14</v>
      </c>
      <c r="B39" s="50">
        <v>46124</v>
      </c>
      <c r="C39" t="s">
        <v>6</v>
      </c>
      <c r="D39" s="37" t="s">
        <v>70</v>
      </c>
      <c r="E39">
        <v>10</v>
      </c>
      <c r="G39">
        <v>5000</v>
      </c>
      <c r="H39" s="7">
        <v>50000</v>
      </c>
      <c r="J39" s="17" t="s">
        <v>84</v>
      </c>
      <c r="U39" t="s">
        <v>52</v>
      </c>
    </row>
    <row r="40" spans="1:21">
      <c r="A40" s="1" t="s">
        <v>14</v>
      </c>
      <c r="B40" s="50">
        <v>46124</v>
      </c>
      <c r="C40" t="s">
        <v>4</v>
      </c>
      <c r="D40" s="1" t="s">
        <v>85</v>
      </c>
      <c r="E40">
        <v>2</v>
      </c>
      <c r="G40">
        <v>1000</v>
      </c>
      <c r="H40" s="7">
        <v>2000</v>
      </c>
      <c r="J40" s="17" t="s">
        <v>84</v>
      </c>
    </row>
    <row r="41" spans="1:21">
      <c r="A41" s="1" t="s">
        <v>14</v>
      </c>
      <c r="B41" s="50">
        <v>46126</v>
      </c>
      <c r="C41" t="s">
        <v>4</v>
      </c>
      <c r="D41" s="1" t="s">
        <v>86</v>
      </c>
      <c r="E41">
        <v>1</v>
      </c>
      <c r="G41"/>
      <c r="H41" s="7">
        <v>4420</v>
      </c>
      <c r="J41" s="9" t="s">
        <v>27</v>
      </c>
    </row>
    <row r="42" spans="1:21">
      <c r="A42" s="1" t="s">
        <v>14</v>
      </c>
      <c r="B42" s="50">
        <v>46127</v>
      </c>
      <c r="D42" s="37" t="s">
        <v>87</v>
      </c>
      <c r="E42">
        <v>1</v>
      </c>
      <c r="H42" s="7">
        <v>500</v>
      </c>
      <c r="J42" t="s">
        <v>95</v>
      </c>
    </row>
    <row r="43" spans="1:21">
      <c r="A43" s="1" t="s">
        <v>14</v>
      </c>
      <c r="B43" s="50">
        <v>46127</v>
      </c>
      <c r="D43" s="1" t="s">
        <v>88</v>
      </c>
      <c r="E43">
        <v>2</v>
      </c>
      <c r="G43" s="58">
        <v>900</v>
      </c>
      <c r="H43" s="7">
        <v>1800</v>
      </c>
      <c r="J43" t="s">
        <v>95</v>
      </c>
    </row>
    <row r="44" spans="1:21">
      <c r="A44" s="1" t="s">
        <v>14</v>
      </c>
      <c r="B44" s="50">
        <v>46127</v>
      </c>
      <c r="D44" s="1" t="s">
        <v>64</v>
      </c>
      <c r="E44">
        <v>2</v>
      </c>
      <c r="G44" s="58">
        <v>700</v>
      </c>
      <c r="H44" s="7">
        <v>1400</v>
      </c>
      <c r="J44" t="s">
        <v>95</v>
      </c>
    </row>
    <row r="45" spans="1:21">
      <c r="A45" s="1" t="s">
        <v>44</v>
      </c>
      <c r="B45" s="50">
        <v>46127</v>
      </c>
      <c r="D45" s="1" t="s">
        <v>57</v>
      </c>
      <c r="E45">
        <v>1</v>
      </c>
      <c r="H45" s="7">
        <v>320</v>
      </c>
      <c r="J45" t="s">
        <v>95</v>
      </c>
    </row>
    <row r="46" spans="1:21">
      <c r="A46" s="1" t="s">
        <v>44</v>
      </c>
      <c r="B46" s="50">
        <v>46127</v>
      </c>
      <c r="D46" s="1" t="s">
        <v>89</v>
      </c>
      <c r="E46">
        <v>1</v>
      </c>
      <c r="G46" s="58">
        <v>500</v>
      </c>
      <c r="H46" s="7">
        <v>500</v>
      </c>
      <c r="J46" t="s">
        <v>95</v>
      </c>
    </row>
    <row r="47" spans="1:21">
      <c r="A47" s="1" t="s">
        <v>14</v>
      </c>
      <c r="B47" s="50">
        <v>46127</v>
      </c>
      <c r="D47" s="1" t="s">
        <v>90</v>
      </c>
      <c r="E47">
        <v>2</v>
      </c>
      <c r="G47" s="58">
        <v>2000</v>
      </c>
      <c r="H47" s="7">
        <v>2000</v>
      </c>
      <c r="J47" t="s">
        <v>95</v>
      </c>
    </row>
    <row r="48" spans="1:21">
      <c r="A48" t="s">
        <v>14</v>
      </c>
      <c r="B48" s="50">
        <v>46127</v>
      </c>
      <c r="D48" s="1" t="s">
        <v>90</v>
      </c>
      <c r="E48">
        <v>1</v>
      </c>
      <c r="H48" s="7">
        <v>300</v>
      </c>
      <c r="J48" t="s">
        <v>95</v>
      </c>
    </row>
    <row r="49" spans="1:12">
      <c r="A49" t="s">
        <v>14</v>
      </c>
      <c r="B49" s="50">
        <v>46127</v>
      </c>
      <c r="D49" s="1" t="s">
        <v>88</v>
      </c>
      <c r="E49">
        <v>1</v>
      </c>
      <c r="G49" s="58">
        <v>900</v>
      </c>
      <c r="H49" s="7">
        <v>900</v>
      </c>
      <c r="J49" t="s">
        <v>95</v>
      </c>
    </row>
    <row r="50" spans="1:12">
      <c r="A50" t="s">
        <v>14</v>
      </c>
      <c r="B50" s="50">
        <v>46127</v>
      </c>
      <c r="D50" s="1" t="s">
        <v>64</v>
      </c>
      <c r="E50">
        <v>1</v>
      </c>
      <c r="G50" s="58">
        <v>700</v>
      </c>
      <c r="H50" s="7">
        <v>700</v>
      </c>
      <c r="J50" t="s">
        <v>95</v>
      </c>
    </row>
    <row r="51" spans="1:12">
      <c r="A51" t="s">
        <v>14</v>
      </c>
      <c r="B51" s="50">
        <v>46127</v>
      </c>
      <c r="D51" s="1" t="s">
        <v>57</v>
      </c>
      <c r="E51">
        <v>2</v>
      </c>
      <c r="G51" s="58">
        <v>80</v>
      </c>
      <c r="H51" s="7">
        <v>160</v>
      </c>
      <c r="J51" t="s">
        <v>95</v>
      </c>
    </row>
    <row r="52" spans="1:12">
      <c r="A52" t="s">
        <v>14</v>
      </c>
      <c r="B52" s="50">
        <v>46128</v>
      </c>
      <c r="D52" s="1" t="s">
        <v>88</v>
      </c>
      <c r="E52">
        <v>1</v>
      </c>
      <c r="G52" s="58">
        <v>900</v>
      </c>
      <c r="H52" s="7">
        <v>900</v>
      </c>
      <c r="J52" t="s">
        <v>95</v>
      </c>
    </row>
    <row r="53" spans="1:12">
      <c r="A53" t="s">
        <v>14</v>
      </c>
      <c r="B53" s="50">
        <v>46128</v>
      </c>
      <c r="D53" s="1" t="s">
        <v>64</v>
      </c>
      <c r="E53">
        <v>1</v>
      </c>
      <c r="G53" s="58">
        <v>700</v>
      </c>
      <c r="H53" s="7">
        <v>700</v>
      </c>
      <c r="J53" t="s">
        <v>95</v>
      </c>
    </row>
    <row r="54" spans="1:12">
      <c r="A54" t="s">
        <v>14</v>
      </c>
      <c r="B54" s="50">
        <v>46128</v>
      </c>
      <c r="D54" s="1" t="s">
        <v>91</v>
      </c>
      <c r="E54">
        <v>1</v>
      </c>
      <c r="G54" s="58">
        <v>200</v>
      </c>
      <c r="H54" s="7">
        <v>200</v>
      </c>
      <c r="J54" t="s">
        <v>95</v>
      </c>
    </row>
    <row r="55" spans="1:12">
      <c r="A55" t="s">
        <v>14</v>
      </c>
      <c r="B55" s="50">
        <v>46128</v>
      </c>
      <c r="D55" s="1" t="s">
        <v>90</v>
      </c>
      <c r="E55">
        <v>1</v>
      </c>
      <c r="G55" s="58">
        <v>11500</v>
      </c>
      <c r="H55" s="7">
        <v>11500</v>
      </c>
      <c r="J55" t="s">
        <v>95</v>
      </c>
      <c r="K55">
        <v>76</v>
      </c>
    </row>
    <row r="56" spans="1:12">
      <c r="A56" t="s">
        <v>14</v>
      </c>
      <c r="B56" s="50">
        <v>46128</v>
      </c>
      <c r="D56" s="1" t="s">
        <v>92</v>
      </c>
      <c r="E56">
        <v>1</v>
      </c>
      <c r="G56" s="58">
        <v>400</v>
      </c>
      <c r="H56" s="7">
        <v>400</v>
      </c>
      <c r="J56" t="s">
        <v>95</v>
      </c>
    </row>
    <row r="57" spans="1:12">
      <c r="A57" t="s">
        <v>14</v>
      </c>
      <c r="B57" s="50">
        <v>46128</v>
      </c>
      <c r="D57" t="s">
        <v>93</v>
      </c>
      <c r="H57" s="7">
        <v>20940</v>
      </c>
      <c r="J57" t="s">
        <v>95</v>
      </c>
      <c r="K57">
        <v>183</v>
      </c>
      <c r="L57" t="s">
        <v>77</v>
      </c>
    </row>
    <row r="58" spans="1:12">
      <c r="A58" t="s">
        <v>14</v>
      </c>
      <c r="B58" s="50">
        <v>46128</v>
      </c>
      <c r="D58" t="s">
        <v>51</v>
      </c>
      <c r="H58" s="7">
        <v>1700</v>
      </c>
      <c r="J58" t="s">
        <v>95</v>
      </c>
      <c r="L58" t="s">
        <v>77</v>
      </c>
    </row>
    <row r="59" spans="1:12">
      <c r="A59" t="s">
        <v>14</v>
      </c>
      <c r="B59" s="50">
        <v>46128</v>
      </c>
      <c r="D59" t="s">
        <v>94</v>
      </c>
      <c r="H59" s="7">
        <v>1500</v>
      </c>
      <c r="J59" t="s">
        <v>95</v>
      </c>
      <c r="L59" t="s">
        <v>77</v>
      </c>
    </row>
    <row r="60" spans="1:12">
      <c r="A60" t="s">
        <v>14</v>
      </c>
      <c r="B60" s="50">
        <v>46130</v>
      </c>
      <c r="D60" s="1" t="s">
        <v>68</v>
      </c>
      <c r="E60">
        <v>1</v>
      </c>
      <c r="H60" s="7">
        <v>13245</v>
      </c>
      <c r="J60" s="17" t="s">
        <v>54</v>
      </c>
      <c r="K60">
        <v>204</v>
      </c>
    </row>
    <row r="61" spans="1:12">
      <c r="A61" t="s">
        <v>14</v>
      </c>
      <c r="B61" s="50">
        <v>46133</v>
      </c>
      <c r="D61" s="1" t="s">
        <v>98</v>
      </c>
      <c r="E61">
        <v>2</v>
      </c>
      <c r="H61" s="7">
        <v>665</v>
      </c>
      <c r="J61" t="s">
        <v>95</v>
      </c>
      <c r="K61">
        <v>202</v>
      </c>
      <c r="L61" t="s">
        <v>77</v>
      </c>
    </row>
    <row r="62" spans="1:12">
      <c r="A62" t="s">
        <v>14</v>
      </c>
      <c r="B62" s="50">
        <v>46133</v>
      </c>
      <c r="D62" s="1" t="s">
        <v>99</v>
      </c>
      <c r="H62" s="7">
        <v>3300</v>
      </c>
      <c r="J62" t="s">
        <v>95</v>
      </c>
      <c r="K62">
        <v>203</v>
      </c>
      <c r="L62" t="s">
        <v>77</v>
      </c>
    </row>
    <row r="63" spans="1:12">
      <c r="A63" t="s">
        <v>14</v>
      </c>
      <c r="B63" s="50">
        <v>46133</v>
      </c>
      <c r="D63" s="1" t="s">
        <v>57</v>
      </c>
      <c r="E63">
        <v>2</v>
      </c>
      <c r="H63" s="7">
        <v>170</v>
      </c>
      <c r="J63" t="s">
        <v>95</v>
      </c>
      <c r="L63" t="s">
        <v>77</v>
      </c>
    </row>
    <row r="64" spans="1:12" s="87" customFormat="1">
      <c r="A64" s="87" t="s">
        <v>100</v>
      </c>
      <c r="B64" s="88">
        <v>46134</v>
      </c>
      <c r="D64" s="89" t="s">
        <v>101</v>
      </c>
      <c r="E64" s="87">
        <v>3</v>
      </c>
      <c r="G64" s="90">
        <v>900</v>
      </c>
      <c r="H64" s="91">
        <v>2700</v>
      </c>
      <c r="J64" s="87" t="s">
        <v>95</v>
      </c>
    </row>
    <row r="65" spans="1:11">
      <c r="A65" t="s">
        <v>100</v>
      </c>
      <c r="B65" s="50">
        <v>46134</v>
      </c>
      <c r="D65" s="1" t="s">
        <v>64</v>
      </c>
      <c r="E65">
        <v>2</v>
      </c>
      <c r="G65" s="58">
        <v>600</v>
      </c>
      <c r="H65" s="7">
        <v>1200</v>
      </c>
      <c r="J65" t="s">
        <v>95</v>
      </c>
    </row>
    <row r="66" spans="1:11">
      <c r="A66" t="s">
        <v>100</v>
      </c>
      <c r="B66" s="50">
        <v>46135</v>
      </c>
      <c r="C66" t="s">
        <v>6</v>
      </c>
      <c r="D66" s="1" t="s">
        <v>89</v>
      </c>
      <c r="E66">
        <v>1</v>
      </c>
      <c r="H66" s="7">
        <v>500</v>
      </c>
      <c r="J66" t="s">
        <v>95</v>
      </c>
    </row>
    <row r="67" spans="1:11">
      <c r="A67" t="s">
        <v>100</v>
      </c>
      <c r="B67" s="50">
        <v>46134</v>
      </c>
      <c r="D67" s="1" t="s">
        <v>102</v>
      </c>
      <c r="E67">
        <v>2</v>
      </c>
      <c r="G67" s="58">
        <v>800</v>
      </c>
      <c r="H67" s="7">
        <v>1600</v>
      </c>
      <c r="J67" t="s">
        <v>95</v>
      </c>
    </row>
    <row r="68" spans="1:11">
      <c r="A68" t="s">
        <v>100</v>
      </c>
      <c r="B68" s="50">
        <v>46134</v>
      </c>
      <c r="D68" s="1" t="s">
        <v>84</v>
      </c>
      <c r="E68">
        <v>2</v>
      </c>
      <c r="G68" s="58">
        <v>1000</v>
      </c>
      <c r="H68" s="7">
        <v>2000</v>
      </c>
      <c r="J68" t="s">
        <v>95</v>
      </c>
    </row>
    <row r="69" spans="1:11">
      <c r="A69" t="s">
        <v>100</v>
      </c>
      <c r="B69" s="50">
        <v>46134</v>
      </c>
      <c r="D69" s="1" t="s">
        <v>103</v>
      </c>
      <c r="E69">
        <v>1</v>
      </c>
      <c r="G69" s="58">
        <v>300</v>
      </c>
      <c r="H69" s="7">
        <v>300</v>
      </c>
      <c r="J69" t="s">
        <v>95</v>
      </c>
    </row>
    <row r="70" spans="1:11">
      <c r="A70" t="s">
        <v>100</v>
      </c>
      <c r="B70" s="50">
        <v>46134</v>
      </c>
      <c r="D70" s="1" t="s">
        <v>51</v>
      </c>
      <c r="E70">
        <v>1</v>
      </c>
      <c r="H70" s="7">
        <v>350</v>
      </c>
      <c r="J70" t="s">
        <v>95</v>
      </c>
    </row>
    <row r="71" spans="1:11">
      <c r="A71" t="s">
        <v>100</v>
      </c>
      <c r="B71" s="50">
        <v>46134</v>
      </c>
      <c r="C71" t="s">
        <v>1</v>
      </c>
      <c r="D71" s="1" t="s">
        <v>105</v>
      </c>
      <c r="E71">
        <v>1</v>
      </c>
      <c r="H71" s="7">
        <v>16215</v>
      </c>
      <c r="J71" s="9" t="s">
        <v>24</v>
      </c>
      <c r="K71">
        <v>220</v>
      </c>
    </row>
    <row r="72" spans="1:11">
      <c r="A72" t="s">
        <v>100</v>
      </c>
      <c r="B72" s="50">
        <v>46134</v>
      </c>
      <c r="C72" t="s">
        <v>6</v>
      </c>
      <c r="D72" s="1" t="s">
        <v>106</v>
      </c>
      <c r="E72">
        <v>1</v>
      </c>
      <c r="H72" s="7">
        <v>9812</v>
      </c>
      <c r="J72" s="9" t="s">
        <v>24</v>
      </c>
      <c r="K72">
        <v>219</v>
      </c>
    </row>
    <row r="73" spans="1:11">
      <c r="A73" t="s">
        <v>100</v>
      </c>
      <c r="B73" s="50">
        <v>46134</v>
      </c>
      <c r="D73" s="1"/>
      <c r="E73">
        <v>1</v>
      </c>
      <c r="H73" s="7"/>
    </row>
    <row r="74" spans="1:11">
      <c r="A74" t="s">
        <v>100</v>
      </c>
      <c r="B74" s="50">
        <v>46134</v>
      </c>
      <c r="D74" s="1"/>
      <c r="E74">
        <v>1</v>
      </c>
      <c r="H74" s="7"/>
    </row>
    <row r="75" spans="1:11">
      <c r="A75" t="s">
        <v>100</v>
      </c>
      <c r="B75" s="50">
        <v>46134</v>
      </c>
      <c r="D75" s="1"/>
      <c r="E75">
        <v>1</v>
      </c>
      <c r="H75" s="7"/>
    </row>
    <row r="76" spans="1:11">
      <c r="A76" t="s">
        <v>100</v>
      </c>
      <c r="B76" s="50">
        <v>46134</v>
      </c>
      <c r="D76" s="1"/>
      <c r="E76">
        <v>1</v>
      </c>
      <c r="H76" s="7"/>
    </row>
    <row r="77" spans="1:11">
      <c r="A77" t="s">
        <v>100</v>
      </c>
      <c r="B77" s="50">
        <v>46134</v>
      </c>
      <c r="D77" s="1"/>
      <c r="E77">
        <v>1</v>
      </c>
      <c r="H77" s="7"/>
    </row>
    <row r="78" spans="1:11">
      <c r="A78" t="s">
        <v>100</v>
      </c>
      <c r="B78" s="50">
        <v>46134</v>
      </c>
      <c r="D78" s="1"/>
      <c r="E78">
        <v>1</v>
      </c>
      <c r="H78" s="7"/>
    </row>
    <row r="79" spans="1:11">
      <c r="A79" t="s">
        <v>100</v>
      </c>
      <c r="B79" s="50">
        <v>46134</v>
      </c>
      <c r="D79" s="1"/>
      <c r="E79">
        <v>1</v>
      </c>
      <c r="H79" s="7"/>
    </row>
    <row r="80" spans="1:11">
      <c r="A80" t="s">
        <v>100</v>
      </c>
      <c r="B80" s="50">
        <v>46134</v>
      </c>
      <c r="D80" s="1"/>
      <c r="E80">
        <v>1</v>
      </c>
      <c r="H80" s="7"/>
    </row>
    <row r="81" spans="1:10">
      <c r="A81" t="s">
        <v>100</v>
      </c>
      <c r="B81" s="50">
        <v>46134</v>
      </c>
      <c r="D81" s="1"/>
      <c r="E81">
        <v>1</v>
      </c>
      <c r="H81" s="7"/>
    </row>
    <row r="82" spans="1:10">
      <c r="A82" t="s">
        <v>100</v>
      </c>
      <c r="B82" s="50">
        <v>46134</v>
      </c>
      <c r="D82" s="1"/>
      <c r="E82">
        <v>1</v>
      </c>
      <c r="H82" s="7"/>
    </row>
    <row r="83" spans="1:10">
      <c r="A83" t="s">
        <v>100</v>
      </c>
      <c r="B83" s="50">
        <v>46134</v>
      </c>
      <c r="D83" s="1"/>
      <c r="E83">
        <v>1</v>
      </c>
      <c r="H83" s="7"/>
    </row>
    <row r="84" spans="1:10">
      <c r="A84" t="s">
        <v>100</v>
      </c>
      <c r="B84" s="50">
        <v>46134</v>
      </c>
      <c r="D84" s="1"/>
      <c r="E84">
        <v>1</v>
      </c>
      <c r="H84" s="7"/>
    </row>
    <row r="85" spans="1:10">
      <c r="A85" t="s">
        <v>100</v>
      </c>
      <c r="B85" s="50">
        <v>46134</v>
      </c>
      <c r="D85" s="1"/>
      <c r="E85">
        <v>1</v>
      </c>
      <c r="H85" s="7"/>
      <c r="J85" s="1"/>
    </row>
    <row r="86" spans="1:10">
      <c r="A86" t="s">
        <v>100</v>
      </c>
      <c r="B86" s="50">
        <v>46134</v>
      </c>
      <c r="D86" s="1"/>
      <c r="E86">
        <v>1</v>
      </c>
      <c r="H86" s="7"/>
      <c r="J86" s="1"/>
    </row>
    <row r="87" spans="1:10">
      <c r="A87" t="s">
        <v>100</v>
      </c>
      <c r="B87" s="50">
        <v>46134</v>
      </c>
      <c r="D87" s="1"/>
      <c r="E87">
        <v>1</v>
      </c>
      <c r="H87" s="7"/>
      <c r="J87" s="1"/>
    </row>
    <row r="88" spans="1:10">
      <c r="A88" t="s">
        <v>100</v>
      </c>
      <c r="B88" s="50">
        <v>46134</v>
      </c>
      <c r="D88" s="1"/>
      <c r="E88">
        <v>1</v>
      </c>
      <c r="H88" s="30"/>
      <c r="J88" s="9"/>
    </row>
    <row r="89" spans="1:10">
      <c r="A89" t="s">
        <v>100</v>
      </c>
      <c r="B89" s="50">
        <v>46134</v>
      </c>
      <c r="D89" s="1"/>
      <c r="E89">
        <v>1</v>
      </c>
      <c r="H89" s="7"/>
      <c r="J89" s="1"/>
    </row>
    <row r="90" spans="1:10">
      <c r="A90" t="s">
        <v>100</v>
      </c>
      <c r="B90" s="50">
        <v>46134</v>
      </c>
      <c r="D90" s="1"/>
      <c r="E90">
        <v>1</v>
      </c>
      <c r="H90" s="7"/>
      <c r="J90" s="1"/>
    </row>
    <row r="91" spans="1:10">
      <c r="A91" t="s">
        <v>100</v>
      </c>
      <c r="B91" s="50">
        <v>46134</v>
      </c>
      <c r="D91" s="1"/>
      <c r="E91">
        <v>1</v>
      </c>
      <c r="H91" s="7"/>
      <c r="J91" s="1"/>
    </row>
    <row r="92" spans="1:10">
      <c r="A92" t="s">
        <v>100</v>
      </c>
      <c r="B92" s="50">
        <v>46134</v>
      </c>
      <c r="D92" s="1"/>
      <c r="E92">
        <v>1</v>
      </c>
      <c r="H92" s="7"/>
      <c r="J92" s="1"/>
    </row>
    <row r="93" spans="1:10">
      <c r="A93" t="s">
        <v>100</v>
      </c>
      <c r="B93" s="50">
        <v>46134</v>
      </c>
      <c r="D93" s="1"/>
      <c r="E93">
        <v>1</v>
      </c>
      <c r="H93" s="7"/>
      <c r="J93" s="1"/>
    </row>
    <row r="94" spans="1:10">
      <c r="A94" t="s">
        <v>100</v>
      </c>
      <c r="B94" s="50">
        <v>46134</v>
      </c>
      <c r="D94" s="1"/>
      <c r="H94" s="7"/>
      <c r="J94" s="1"/>
    </row>
    <row r="95" spans="1:10">
      <c r="A95" t="s">
        <v>100</v>
      </c>
      <c r="B95" s="50">
        <v>46134</v>
      </c>
      <c r="D95" s="1"/>
      <c r="H95" s="7"/>
      <c r="J95" s="1"/>
    </row>
    <row r="96" spans="1:10">
      <c r="A96" t="s">
        <v>100</v>
      </c>
      <c r="B96" s="50">
        <v>46134</v>
      </c>
      <c r="D96" s="1"/>
      <c r="H96" s="7"/>
      <c r="J96" s="1"/>
    </row>
    <row r="97" spans="1:15">
      <c r="A97" t="s">
        <v>100</v>
      </c>
      <c r="B97" s="50">
        <v>46134</v>
      </c>
      <c r="D97" s="1"/>
      <c r="H97" s="7"/>
      <c r="J97" s="1"/>
    </row>
    <row r="98" spans="1:15">
      <c r="A98" t="s">
        <v>100</v>
      </c>
      <c r="B98" s="50">
        <v>46134</v>
      </c>
      <c r="D98" s="1"/>
      <c r="H98" s="7"/>
      <c r="J98" s="1"/>
    </row>
    <row r="99" spans="1:15">
      <c r="A99" t="s">
        <v>100</v>
      </c>
      <c r="B99" s="50">
        <v>46134</v>
      </c>
      <c r="D99" s="1"/>
      <c r="H99" s="30"/>
      <c r="J99" s="1"/>
    </row>
    <row r="100" spans="1:15">
      <c r="A100" t="s">
        <v>100</v>
      </c>
      <c r="B100" s="50">
        <v>46134</v>
      </c>
      <c r="D100" s="1"/>
      <c r="H100" s="30"/>
      <c r="J100" s="9"/>
    </row>
    <row r="101" spans="1:15">
      <c r="A101" t="s">
        <v>100</v>
      </c>
      <c r="B101" s="50">
        <v>46134</v>
      </c>
      <c r="D101" s="1"/>
      <c r="H101" s="7"/>
      <c r="J101" s="1"/>
    </row>
    <row r="102" spans="1:15">
      <c r="A102" t="s">
        <v>100</v>
      </c>
      <c r="B102" s="50">
        <v>46134</v>
      </c>
      <c r="D102" s="1"/>
      <c r="H102" s="7"/>
      <c r="J102" s="1"/>
    </row>
    <row r="103" spans="1:15">
      <c r="A103" t="s">
        <v>100</v>
      </c>
      <c r="B103" s="50">
        <v>46134</v>
      </c>
      <c r="D103" s="1"/>
      <c r="H103" s="7"/>
      <c r="J103" s="1"/>
    </row>
    <row r="104" spans="1:15">
      <c r="A104" t="s">
        <v>100</v>
      </c>
      <c r="B104" s="50">
        <v>46134</v>
      </c>
      <c r="D104" s="1"/>
      <c r="H104" s="7"/>
      <c r="J104" s="1"/>
    </row>
    <row r="105" spans="1:15">
      <c r="A105" t="s">
        <v>100</v>
      </c>
      <c r="B105" s="50">
        <v>46134</v>
      </c>
      <c r="D105" s="1"/>
      <c r="H105" s="7"/>
      <c r="J105" s="1"/>
    </row>
    <row r="106" spans="1:15">
      <c r="A106" t="s">
        <v>100</v>
      </c>
      <c r="B106" s="50">
        <v>46134</v>
      </c>
      <c r="D106" s="1"/>
      <c r="H106" s="7"/>
      <c r="J106" s="1"/>
    </row>
    <row r="107" spans="1:15">
      <c r="A107" t="s">
        <v>100</v>
      </c>
      <c r="B107" s="50">
        <v>46134</v>
      </c>
      <c r="D107" s="1"/>
      <c r="H107" s="7"/>
      <c r="J107" s="1"/>
    </row>
    <row r="108" spans="1:15">
      <c r="A108" t="s">
        <v>100</v>
      </c>
      <c r="B108" s="50">
        <v>46134</v>
      </c>
      <c r="D108" s="1"/>
      <c r="H108" s="7"/>
      <c r="J108" s="1"/>
    </row>
    <row r="109" spans="1:15">
      <c r="A109" t="s">
        <v>100</v>
      </c>
      <c r="B109" s="50">
        <v>46134</v>
      </c>
      <c r="D109" s="1"/>
      <c r="H109" s="7"/>
      <c r="J109" s="1"/>
    </row>
    <row r="110" spans="1:15">
      <c r="A110" t="s">
        <v>100</v>
      </c>
      <c r="B110" s="50">
        <v>46134</v>
      </c>
      <c r="D110" s="1"/>
      <c r="H110" s="7"/>
      <c r="J110" s="1"/>
    </row>
    <row r="111" spans="1:15">
      <c r="A111" t="s">
        <v>100</v>
      </c>
      <c r="B111" s="50">
        <v>46134</v>
      </c>
      <c r="D111" s="1"/>
      <c r="H111" s="7"/>
      <c r="J111" s="1"/>
    </row>
    <row r="112" spans="1:15">
      <c r="A112" t="s">
        <v>100</v>
      </c>
      <c r="B112" s="50">
        <v>46134</v>
      </c>
      <c r="D112" s="1"/>
      <c r="H112" s="7"/>
      <c r="J112" s="1"/>
      <c r="O112" s="19"/>
    </row>
    <row r="113" spans="1:10">
      <c r="A113" t="s">
        <v>100</v>
      </c>
      <c r="B113" s="50">
        <v>46134</v>
      </c>
      <c r="D113" s="1"/>
      <c r="H113" s="7"/>
      <c r="J113" s="1"/>
    </row>
    <row r="114" spans="1:10">
      <c r="A114" t="s">
        <v>100</v>
      </c>
      <c r="B114" s="50">
        <v>46134</v>
      </c>
      <c r="D114" s="1"/>
      <c r="H114" s="7"/>
      <c r="J114" s="1"/>
    </row>
    <row r="115" spans="1:10">
      <c r="A115" t="s">
        <v>100</v>
      </c>
      <c r="B115" s="50">
        <v>46134</v>
      </c>
      <c r="D115" s="1"/>
      <c r="H115" s="7"/>
      <c r="J115" s="1"/>
    </row>
    <row r="116" spans="1:10">
      <c r="A116" t="s">
        <v>100</v>
      </c>
      <c r="B116" s="50">
        <v>46134</v>
      </c>
      <c r="D116" s="1"/>
      <c r="H116" s="7"/>
      <c r="J116" s="1"/>
    </row>
    <row r="117" spans="1:10">
      <c r="A117" t="s">
        <v>100</v>
      </c>
      <c r="B117" s="50">
        <v>46134</v>
      </c>
      <c r="D117" s="1"/>
      <c r="H117" s="7"/>
      <c r="J117" s="1"/>
    </row>
    <row r="118" spans="1:10">
      <c r="A118" t="s">
        <v>100</v>
      </c>
      <c r="D118" s="1"/>
      <c r="H118" s="7"/>
      <c r="J118" s="1"/>
    </row>
    <row r="119" spans="1:10">
      <c r="A119" t="s">
        <v>100</v>
      </c>
      <c r="D119" s="1"/>
      <c r="H119" s="7"/>
      <c r="J119" s="1"/>
    </row>
    <row r="120" spans="1:10">
      <c r="A120" t="s">
        <v>100</v>
      </c>
      <c r="D120" s="1"/>
      <c r="H120" s="30"/>
      <c r="J120" s="9"/>
    </row>
    <row r="121" spans="1:10">
      <c r="A121" t="s">
        <v>100</v>
      </c>
      <c r="D121" s="1"/>
      <c r="H121" s="30"/>
      <c r="J121" s="9"/>
    </row>
    <row r="122" spans="1:10">
      <c r="A122" t="s">
        <v>100</v>
      </c>
      <c r="D122" s="1"/>
      <c r="H122" s="7"/>
      <c r="J122" s="1"/>
    </row>
    <row r="123" spans="1:10">
      <c r="A123" t="s">
        <v>100</v>
      </c>
      <c r="D123" s="1"/>
      <c r="H123" s="7"/>
      <c r="J123" s="1"/>
    </row>
    <row r="124" spans="1:10">
      <c r="A124" t="s">
        <v>100</v>
      </c>
      <c r="D124" s="1"/>
      <c r="H124" s="7"/>
      <c r="J124" s="1"/>
    </row>
    <row r="125" spans="1:10">
      <c r="A125" t="s">
        <v>100</v>
      </c>
      <c r="D125" s="1"/>
      <c r="H125" s="7"/>
      <c r="J125" s="1"/>
    </row>
    <row r="126" spans="1:10">
      <c r="A126" t="s">
        <v>100</v>
      </c>
      <c r="D126" s="1"/>
      <c r="H126" s="7"/>
      <c r="J126" s="1"/>
    </row>
    <row r="127" spans="1:10">
      <c r="A127" t="s">
        <v>100</v>
      </c>
      <c r="D127" s="1"/>
      <c r="H127" s="7"/>
      <c r="J127" s="1"/>
    </row>
    <row r="128" spans="1:10">
      <c r="A128" t="s">
        <v>100</v>
      </c>
      <c r="D128" s="1"/>
      <c r="H128" s="7"/>
      <c r="J128" s="1"/>
    </row>
    <row r="129" spans="1:10">
      <c r="A129" t="s">
        <v>100</v>
      </c>
      <c r="D129" s="1"/>
      <c r="H129" s="7"/>
      <c r="J129" s="1"/>
    </row>
    <row r="130" spans="1:10">
      <c r="A130" t="s">
        <v>100</v>
      </c>
      <c r="D130" s="1"/>
      <c r="H130" s="7"/>
      <c r="J130" s="1"/>
    </row>
    <row r="131" spans="1:10">
      <c r="A131" t="s">
        <v>100</v>
      </c>
      <c r="D131" s="1"/>
      <c r="H131" s="7"/>
      <c r="J131" s="1"/>
    </row>
    <row r="132" spans="1:10">
      <c r="A132" t="s">
        <v>100</v>
      </c>
      <c r="D132" s="1"/>
      <c r="H132" s="7"/>
      <c r="J132" s="1"/>
    </row>
    <row r="133" spans="1:10">
      <c r="A133" t="s">
        <v>100</v>
      </c>
      <c r="D133" s="1"/>
      <c r="H133" s="7"/>
      <c r="J133" s="1"/>
    </row>
    <row r="134" spans="1:10">
      <c r="A134" t="s">
        <v>100</v>
      </c>
      <c r="D134" s="1"/>
      <c r="E134" s="16"/>
      <c r="G134" s="78"/>
      <c r="H134" s="27"/>
      <c r="J134" s="1"/>
    </row>
    <row r="135" spans="1:10">
      <c r="A135" t="s">
        <v>100</v>
      </c>
      <c r="D135" s="1"/>
      <c r="H135" s="7"/>
      <c r="J135" s="1"/>
    </row>
    <row r="136" spans="1:10">
      <c r="A136" t="s">
        <v>100</v>
      </c>
      <c r="D136" s="1"/>
      <c r="H136" s="7"/>
      <c r="J136" s="1"/>
    </row>
    <row r="137" spans="1:10">
      <c r="A137" t="s">
        <v>100</v>
      </c>
      <c r="D137" s="1"/>
      <c r="H137" s="7"/>
      <c r="J137" s="1"/>
    </row>
    <row r="138" spans="1:10">
      <c r="A138" t="s">
        <v>100</v>
      </c>
      <c r="D138" s="1"/>
      <c r="H138" s="30"/>
      <c r="J138" s="9"/>
    </row>
    <row r="139" spans="1:10">
      <c r="A139" t="s">
        <v>100</v>
      </c>
      <c r="D139" s="1"/>
      <c r="H139" s="30"/>
      <c r="J139" s="9"/>
    </row>
    <row r="140" spans="1:10">
      <c r="A140" t="s">
        <v>100</v>
      </c>
      <c r="D140" s="1"/>
      <c r="H140" s="30"/>
      <c r="J140" s="9"/>
    </row>
    <row r="141" spans="1:10">
      <c r="A141" t="s">
        <v>100</v>
      </c>
      <c r="D141" s="1"/>
      <c r="H141" s="27"/>
    </row>
    <row r="142" spans="1:10">
      <c r="A142" t="s">
        <v>100</v>
      </c>
      <c r="D142" s="1"/>
      <c r="H142" s="30"/>
      <c r="J142" s="9"/>
    </row>
    <row r="143" spans="1:10">
      <c r="A143" t="s">
        <v>100</v>
      </c>
      <c r="D143" s="1"/>
      <c r="H143" s="30"/>
      <c r="J143" s="9"/>
    </row>
    <row r="144" spans="1:10">
      <c r="A144" t="s">
        <v>100</v>
      </c>
      <c r="D144" s="1"/>
      <c r="H144" s="30"/>
      <c r="J144" s="9"/>
    </row>
    <row r="145" spans="1:10">
      <c r="A145" t="s">
        <v>100</v>
      </c>
      <c r="D145" s="1"/>
      <c r="H145" s="30"/>
      <c r="J145" s="9"/>
    </row>
    <row r="146" spans="1:10">
      <c r="A146" t="s">
        <v>100</v>
      </c>
      <c r="B146" s="18"/>
      <c r="D146" s="1"/>
      <c r="E146" s="1"/>
      <c r="F146" s="1"/>
      <c r="G146" s="79"/>
      <c r="H146" s="30"/>
      <c r="J146" s="9"/>
    </row>
    <row r="147" spans="1:10">
      <c r="A147" t="s">
        <v>100</v>
      </c>
      <c r="D147" s="1"/>
      <c r="H147" s="7"/>
      <c r="J147" s="1"/>
    </row>
    <row r="148" spans="1:10">
      <c r="A148" t="s">
        <v>100</v>
      </c>
      <c r="D148" s="1"/>
      <c r="H148" s="7"/>
      <c r="J148" s="1"/>
    </row>
    <row r="149" spans="1:10">
      <c r="A149" t="s">
        <v>100</v>
      </c>
      <c r="D149" s="1"/>
      <c r="H149" s="7"/>
      <c r="J149" s="1"/>
    </row>
    <row r="150" spans="1:10">
      <c r="A150" t="s">
        <v>100</v>
      </c>
      <c r="D150" s="1"/>
      <c r="H150" s="7"/>
      <c r="J150" s="1"/>
    </row>
    <row r="151" spans="1:10">
      <c r="A151" t="s">
        <v>100</v>
      </c>
      <c r="D151" s="1"/>
      <c r="H151" s="7"/>
      <c r="J151" s="1"/>
    </row>
    <row r="152" spans="1:10">
      <c r="A152" t="s">
        <v>100</v>
      </c>
      <c r="D152" s="1"/>
      <c r="H152" s="7"/>
      <c r="J152" s="1"/>
    </row>
    <row r="153" spans="1:10">
      <c r="A153" t="s">
        <v>100</v>
      </c>
      <c r="D153" s="1"/>
      <c r="H153" s="7"/>
      <c r="J153" s="1"/>
    </row>
    <row r="154" spans="1:10">
      <c r="A154" t="s">
        <v>100</v>
      </c>
      <c r="D154" s="1"/>
      <c r="H154" s="7"/>
      <c r="J154" s="1"/>
    </row>
    <row r="155" spans="1:10">
      <c r="A155" t="s">
        <v>100</v>
      </c>
      <c r="D155" s="1"/>
      <c r="H155" s="7"/>
      <c r="J155" s="1"/>
    </row>
    <row r="156" spans="1:10">
      <c r="A156" t="s">
        <v>100</v>
      </c>
      <c r="D156" s="1"/>
      <c r="H156" s="7"/>
      <c r="J156" s="1"/>
    </row>
    <row r="157" spans="1:10">
      <c r="A157" t="s">
        <v>100</v>
      </c>
      <c r="D157" s="1"/>
      <c r="H157" s="7"/>
      <c r="J157" s="1"/>
    </row>
    <row r="158" spans="1:10">
      <c r="A158" t="s">
        <v>100</v>
      </c>
      <c r="D158" s="1"/>
      <c r="H158" s="7"/>
      <c r="J158" s="1"/>
    </row>
    <row r="159" spans="1:10">
      <c r="A159" t="s">
        <v>100</v>
      </c>
      <c r="D159" s="1"/>
      <c r="H159" s="7"/>
      <c r="J159" s="1"/>
    </row>
    <row r="160" spans="1:10">
      <c r="A160" t="s">
        <v>100</v>
      </c>
      <c r="D160" s="1"/>
      <c r="H160" s="30"/>
      <c r="J160" s="1"/>
    </row>
    <row r="161" spans="1:10">
      <c r="A161" t="s">
        <v>100</v>
      </c>
      <c r="D161" s="1"/>
      <c r="H161" s="7"/>
      <c r="J161" s="1"/>
    </row>
    <row r="162" spans="1:10">
      <c r="A162" t="s">
        <v>100</v>
      </c>
      <c r="D162" s="1"/>
      <c r="H162" s="30"/>
      <c r="J162" s="9"/>
    </row>
    <row r="163" spans="1:10">
      <c r="A163" t="s">
        <v>100</v>
      </c>
      <c r="D163" s="1"/>
      <c r="H163" s="30"/>
      <c r="J163" s="9"/>
    </row>
    <row r="164" spans="1:10">
      <c r="A164" t="s">
        <v>100</v>
      </c>
      <c r="D164" s="1"/>
      <c r="H164" s="30"/>
      <c r="J164" s="9"/>
    </row>
    <row r="165" spans="1:10">
      <c r="A165" t="s">
        <v>100</v>
      </c>
      <c r="D165" s="1"/>
      <c r="H165" s="30"/>
      <c r="J165" s="9"/>
    </row>
    <row r="166" spans="1:10">
      <c r="A166" t="s">
        <v>100</v>
      </c>
      <c r="D166" s="1"/>
      <c r="H166" s="7"/>
      <c r="J166" s="1"/>
    </row>
    <row r="167" spans="1:10">
      <c r="A167" t="s">
        <v>100</v>
      </c>
      <c r="D167" s="1"/>
      <c r="H167" s="30"/>
      <c r="J167" s="9"/>
    </row>
    <row r="168" spans="1:10">
      <c r="A168" t="s">
        <v>100</v>
      </c>
      <c r="D168" s="1"/>
      <c r="H168" s="30"/>
      <c r="J168" s="9"/>
    </row>
    <row r="169" spans="1:10">
      <c r="A169" t="s">
        <v>100</v>
      </c>
      <c r="D169" s="1"/>
      <c r="H169" s="30"/>
      <c r="J169" s="9"/>
    </row>
    <row r="170" spans="1:10">
      <c r="A170" t="s">
        <v>100</v>
      </c>
      <c r="D170" s="1"/>
      <c r="H170" s="7"/>
      <c r="J170" s="1"/>
    </row>
    <row r="171" spans="1:10">
      <c r="A171" t="s">
        <v>100</v>
      </c>
      <c r="D171" s="1"/>
      <c r="H171" s="7"/>
      <c r="J171" s="1"/>
    </row>
    <row r="172" spans="1:10">
      <c r="A172" t="s">
        <v>100</v>
      </c>
      <c r="D172" s="1"/>
      <c r="H172" s="7"/>
      <c r="J172" s="1"/>
    </row>
    <row r="173" spans="1:10">
      <c r="A173" t="s">
        <v>100</v>
      </c>
      <c r="D173" s="1"/>
      <c r="H173" s="7"/>
      <c r="J173" s="1"/>
    </row>
    <row r="174" spans="1:10">
      <c r="A174" t="s">
        <v>100</v>
      </c>
      <c r="D174" s="1"/>
      <c r="H174" s="7"/>
      <c r="J174" s="1"/>
    </row>
    <row r="175" spans="1:10">
      <c r="A175" t="s">
        <v>100</v>
      </c>
      <c r="D175" s="1"/>
      <c r="H175" s="7"/>
      <c r="J175" s="1"/>
    </row>
    <row r="176" spans="1:10">
      <c r="A176" t="s">
        <v>100</v>
      </c>
      <c r="D176" s="1"/>
      <c r="H176" s="7"/>
      <c r="J176" s="1"/>
    </row>
    <row r="177" spans="1:10">
      <c r="A177" t="s">
        <v>100</v>
      </c>
      <c r="D177" s="1"/>
      <c r="H177" s="7"/>
      <c r="J177" s="1"/>
    </row>
    <row r="178" spans="1:10">
      <c r="A178" t="s">
        <v>100</v>
      </c>
      <c r="D178" s="1"/>
      <c r="H178" s="7"/>
      <c r="J178" s="1"/>
    </row>
    <row r="179" spans="1:10">
      <c r="A179" t="s">
        <v>100</v>
      </c>
      <c r="D179" s="1"/>
      <c r="H179" s="7"/>
      <c r="J179" s="1"/>
    </row>
    <row r="180" spans="1:10">
      <c r="A180" t="s">
        <v>100</v>
      </c>
      <c r="D180" s="1"/>
      <c r="H180" s="7"/>
      <c r="J180" s="1"/>
    </row>
    <row r="181" spans="1:10">
      <c r="A181" t="s">
        <v>100</v>
      </c>
      <c r="D181" s="1"/>
      <c r="H181" s="7"/>
      <c r="J181" s="1"/>
    </row>
    <row r="182" spans="1:10">
      <c r="A182" t="s">
        <v>100</v>
      </c>
      <c r="D182" s="1"/>
      <c r="H182" s="7"/>
      <c r="J182" s="1"/>
    </row>
    <row r="183" spans="1:10">
      <c r="A183" t="s">
        <v>100</v>
      </c>
      <c r="D183" s="1"/>
      <c r="H183" s="7"/>
      <c r="J183" s="1"/>
    </row>
    <row r="184" spans="1:10">
      <c r="A184" t="s">
        <v>100</v>
      </c>
      <c r="D184" s="1"/>
      <c r="H184" s="7"/>
      <c r="J184" s="1"/>
    </row>
    <row r="185" spans="1:10">
      <c r="A185" t="s">
        <v>100</v>
      </c>
      <c r="D185" s="1"/>
      <c r="H185" s="7"/>
      <c r="J185" s="1"/>
    </row>
    <row r="186" spans="1:10">
      <c r="A186" t="s">
        <v>100</v>
      </c>
      <c r="D186" s="1"/>
      <c r="H186" s="7"/>
      <c r="J186" s="1"/>
    </row>
    <row r="187" spans="1:10">
      <c r="A187" t="s">
        <v>100</v>
      </c>
      <c r="D187" s="1"/>
      <c r="H187" s="27"/>
    </row>
    <row r="188" spans="1:10">
      <c r="A188" t="s">
        <v>100</v>
      </c>
      <c r="D188" s="1"/>
      <c r="H188" s="7"/>
      <c r="J188" s="1"/>
    </row>
    <row r="189" spans="1:10">
      <c r="A189" t="s">
        <v>100</v>
      </c>
      <c r="D189" s="1"/>
      <c r="H189" s="30"/>
      <c r="J189" s="9"/>
    </row>
    <row r="190" spans="1:10">
      <c r="A190" t="s">
        <v>100</v>
      </c>
      <c r="D190" s="1"/>
      <c r="E190" s="16"/>
      <c r="G190" s="78"/>
      <c r="H190" s="30"/>
      <c r="J190" s="9"/>
    </row>
    <row r="191" spans="1:10">
      <c r="A191" t="s">
        <v>100</v>
      </c>
      <c r="D191" s="1"/>
      <c r="H191" s="30"/>
      <c r="J191" s="9"/>
    </row>
    <row r="192" spans="1:10">
      <c r="A192" t="s">
        <v>100</v>
      </c>
      <c r="D192" s="1"/>
      <c r="H192" s="7"/>
      <c r="J192" s="1"/>
    </row>
    <row r="193" spans="1:10">
      <c r="A193" t="s">
        <v>100</v>
      </c>
      <c r="D193" s="1"/>
      <c r="H193" s="7"/>
      <c r="J193" s="1"/>
    </row>
    <row r="194" spans="1:10">
      <c r="A194" t="s">
        <v>100</v>
      </c>
      <c r="D194" s="1"/>
      <c r="H194" s="7"/>
      <c r="J194" s="1"/>
    </row>
    <row r="195" spans="1:10">
      <c r="A195" t="s">
        <v>100</v>
      </c>
      <c r="D195" s="1"/>
      <c r="H195" s="30"/>
      <c r="J195" s="9"/>
    </row>
    <row r="196" spans="1:10">
      <c r="A196" t="s">
        <v>100</v>
      </c>
      <c r="D196" s="1"/>
      <c r="H196" s="30"/>
      <c r="J196" s="9"/>
    </row>
    <row r="197" spans="1:10">
      <c r="A197" t="s">
        <v>100</v>
      </c>
      <c r="D197" s="1"/>
      <c r="H197" s="30"/>
      <c r="J197" s="9"/>
    </row>
    <row r="198" spans="1:10">
      <c r="A198" t="s">
        <v>100</v>
      </c>
      <c r="D198" s="1"/>
      <c r="H198" s="30"/>
      <c r="J198" s="9"/>
    </row>
    <row r="199" spans="1:10">
      <c r="A199" t="s">
        <v>100</v>
      </c>
      <c r="D199" s="1"/>
      <c r="H199" s="30"/>
      <c r="J199" s="9"/>
    </row>
    <row r="200" spans="1:10">
      <c r="A200" t="s">
        <v>100</v>
      </c>
      <c r="D200" s="1"/>
      <c r="H200" s="30"/>
      <c r="J200" s="9"/>
    </row>
    <row r="201" spans="1:10">
      <c r="A201" t="s">
        <v>100</v>
      </c>
      <c r="D201" s="1"/>
      <c r="H201" s="30"/>
      <c r="J201" s="9"/>
    </row>
    <row r="202" spans="1:10">
      <c r="A202" t="s">
        <v>100</v>
      </c>
      <c r="D202" s="1"/>
      <c r="H202" s="7"/>
      <c r="J202" s="1"/>
    </row>
    <row r="203" spans="1:10">
      <c r="A203" t="s">
        <v>100</v>
      </c>
      <c r="D203" s="1"/>
      <c r="H203" s="7"/>
      <c r="J203" s="1"/>
    </row>
    <row r="204" spans="1:10">
      <c r="A204" t="s">
        <v>100</v>
      </c>
      <c r="D204" s="1"/>
      <c r="H204" s="7"/>
      <c r="J204" s="1"/>
    </row>
    <row r="205" spans="1:10">
      <c r="A205" t="s">
        <v>100</v>
      </c>
      <c r="D205" s="1"/>
      <c r="H205" s="7"/>
      <c r="J205" s="1"/>
    </row>
    <row r="206" spans="1:10">
      <c r="A206" t="s">
        <v>100</v>
      </c>
      <c r="D206" s="1"/>
      <c r="H206" s="7"/>
      <c r="J206" s="1"/>
    </row>
    <row r="207" spans="1:10">
      <c r="A207" t="s">
        <v>100</v>
      </c>
      <c r="D207" s="1"/>
      <c r="H207" s="7"/>
      <c r="J207" s="1"/>
    </row>
    <row r="208" spans="1:10">
      <c r="A208" t="s">
        <v>100</v>
      </c>
      <c r="D208" s="1"/>
      <c r="H208" s="7"/>
      <c r="J208" s="1"/>
    </row>
    <row r="209" spans="1:10">
      <c r="A209" t="s">
        <v>100</v>
      </c>
      <c r="D209" s="1"/>
      <c r="H209" s="7"/>
      <c r="J209" s="1"/>
    </row>
    <row r="210" spans="1:10">
      <c r="A210" t="s">
        <v>100</v>
      </c>
      <c r="D210" s="1"/>
      <c r="H210" s="7"/>
      <c r="J210" s="1"/>
    </row>
    <row r="211" spans="1:10">
      <c r="A211" t="s">
        <v>100</v>
      </c>
      <c r="D211" s="1"/>
      <c r="H211" s="7"/>
      <c r="J211" s="1"/>
    </row>
    <row r="212" spans="1:10">
      <c r="A212" t="s">
        <v>100</v>
      </c>
      <c r="D212" s="1"/>
      <c r="H212" s="7"/>
      <c r="I212" s="29"/>
      <c r="J212" s="1"/>
    </row>
    <row r="213" spans="1:10">
      <c r="A213" t="s">
        <v>100</v>
      </c>
      <c r="D213" s="1"/>
      <c r="H213" s="7"/>
      <c r="I213" s="29"/>
      <c r="J213" s="1"/>
    </row>
    <row r="214" spans="1:10">
      <c r="A214" t="s">
        <v>100</v>
      </c>
      <c r="D214" s="1"/>
      <c r="H214" s="7"/>
      <c r="I214" s="29"/>
      <c r="J214" s="1"/>
    </row>
    <row r="215" spans="1:10">
      <c r="A215" t="s">
        <v>100</v>
      </c>
      <c r="D215" s="1"/>
      <c r="H215" s="7"/>
      <c r="I215" s="29"/>
      <c r="J215" s="1"/>
    </row>
    <row r="216" spans="1:10">
      <c r="A216" t="s">
        <v>100</v>
      </c>
      <c r="D216" s="1"/>
      <c r="H216" s="7"/>
      <c r="I216" s="29"/>
      <c r="J216" s="1"/>
    </row>
    <row r="217" spans="1:10">
      <c r="A217" t="s">
        <v>100</v>
      </c>
      <c r="D217" s="1"/>
      <c r="H217" s="7"/>
      <c r="I217" s="29"/>
      <c r="J217" s="1"/>
    </row>
    <row r="218" spans="1:10">
      <c r="A218" t="s">
        <v>100</v>
      </c>
      <c r="D218" s="1"/>
      <c r="H218" s="7"/>
      <c r="I218" s="29"/>
      <c r="J218" s="1"/>
    </row>
    <row r="219" spans="1:10">
      <c r="A219" t="s">
        <v>100</v>
      </c>
      <c r="D219" s="1"/>
      <c r="H219" s="7"/>
      <c r="J219" s="1"/>
    </row>
    <row r="220" spans="1:10">
      <c r="A220" t="s">
        <v>100</v>
      </c>
      <c r="D220" s="1"/>
      <c r="H220" s="7"/>
      <c r="J220" s="1"/>
    </row>
    <row r="221" spans="1:10">
      <c r="A221" t="s">
        <v>100</v>
      </c>
      <c r="D221" s="1"/>
      <c r="H221" s="7"/>
      <c r="J221" s="1"/>
    </row>
    <row r="222" spans="1:10">
      <c r="A222" t="s">
        <v>100</v>
      </c>
      <c r="D222" s="1"/>
      <c r="H222" s="7"/>
      <c r="J222" s="1"/>
    </row>
    <row r="223" spans="1:10">
      <c r="A223" t="s">
        <v>100</v>
      </c>
      <c r="D223" s="1"/>
      <c r="H223" s="7"/>
      <c r="J223" s="1"/>
    </row>
    <row r="224" spans="1:10">
      <c r="A224" t="s">
        <v>100</v>
      </c>
      <c r="D224" s="1"/>
      <c r="H224" s="7"/>
      <c r="J224" s="1"/>
    </row>
    <row r="225" spans="1:10">
      <c r="A225" t="s">
        <v>100</v>
      </c>
      <c r="D225" s="1"/>
      <c r="H225" s="7"/>
      <c r="J225" s="1"/>
    </row>
    <row r="226" spans="1:10">
      <c r="A226" t="s">
        <v>100</v>
      </c>
      <c r="D226" s="1"/>
      <c r="H226" s="7"/>
      <c r="J226" s="1"/>
    </row>
    <row r="227" spans="1:10">
      <c r="A227" t="s">
        <v>100</v>
      </c>
      <c r="D227" s="1"/>
      <c r="H227" s="7"/>
      <c r="J227" s="1"/>
    </row>
    <row r="228" spans="1:10">
      <c r="A228" t="s">
        <v>100</v>
      </c>
      <c r="D228" s="1"/>
      <c r="H228" s="7"/>
      <c r="J228" s="1"/>
    </row>
    <row r="229" spans="1:10">
      <c r="A229" t="s">
        <v>100</v>
      </c>
      <c r="D229" s="1"/>
      <c r="H229" s="7"/>
      <c r="J229" s="1"/>
    </row>
    <row r="230" spans="1:10">
      <c r="A230" t="s">
        <v>100</v>
      </c>
      <c r="D230" s="1"/>
      <c r="H230" s="30"/>
      <c r="J230" s="9"/>
    </row>
    <row r="231" spans="1:10">
      <c r="A231" t="s">
        <v>100</v>
      </c>
      <c r="D231" s="1"/>
      <c r="H231" s="30"/>
      <c r="J231" s="9"/>
    </row>
    <row r="232" spans="1:10">
      <c r="A232" t="s">
        <v>100</v>
      </c>
      <c r="D232" s="1"/>
      <c r="H232" s="7"/>
      <c r="J232" s="1"/>
    </row>
    <row r="233" spans="1:10">
      <c r="A233" t="s">
        <v>100</v>
      </c>
      <c r="D233" s="1"/>
      <c r="H233" s="7"/>
      <c r="J233" s="1"/>
    </row>
    <row r="234" spans="1:10">
      <c r="A234" t="s">
        <v>100</v>
      </c>
      <c r="D234" s="1"/>
      <c r="H234" s="7"/>
      <c r="J234" s="1"/>
    </row>
    <row r="235" spans="1:10">
      <c r="A235" t="s">
        <v>100</v>
      </c>
      <c r="D235" s="1"/>
      <c r="H235" s="7"/>
      <c r="J235" s="1"/>
    </row>
    <row r="236" spans="1:10">
      <c r="A236" t="s">
        <v>100</v>
      </c>
      <c r="D236" s="1"/>
      <c r="H236" s="7"/>
      <c r="J236" s="1"/>
    </row>
    <row r="237" spans="1:10">
      <c r="A237" t="s">
        <v>100</v>
      </c>
      <c r="D237" s="1"/>
      <c r="H237" s="7"/>
      <c r="J237" s="1"/>
    </row>
    <row r="238" spans="1:10">
      <c r="A238" t="s">
        <v>100</v>
      </c>
      <c r="D238" s="1"/>
      <c r="H238" s="7"/>
      <c r="J238" s="1"/>
    </row>
    <row r="239" spans="1:10">
      <c r="A239" t="s">
        <v>100</v>
      </c>
      <c r="D239" s="1"/>
      <c r="H239" s="7"/>
      <c r="J239" s="1"/>
    </row>
    <row r="240" spans="1:10">
      <c r="A240" t="s">
        <v>100</v>
      </c>
      <c r="D240" s="1"/>
      <c r="H240" s="7"/>
      <c r="J240" s="1"/>
    </row>
    <row r="241" spans="1:10">
      <c r="A241" t="s">
        <v>100</v>
      </c>
      <c r="D241" s="1"/>
      <c r="H241" s="7"/>
      <c r="J241" s="1"/>
    </row>
    <row r="242" spans="1:10">
      <c r="A242" t="s">
        <v>100</v>
      </c>
      <c r="D242" s="1"/>
      <c r="H242" s="7"/>
      <c r="J242" s="1"/>
    </row>
    <row r="243" spans="1:10">
      <c r="A243" t="s">
        <v>100</v>
      </c>
      <c r="D243" s="1"/>
      <c r="H243" s="7"/>
      <c r="J243" s="1"/>
    </row>
    <row r="244" spans="1:10">
      <c r="A244" t="s">
        <v>100</v>
      </c>
      <c r="D244" s="1"/>
      <c r="J244" s="1"/>
    </row>
    <row r="245" spans="1:10">
      <c r="A245" t="s">
        <v>100</v>
      </c>
      <c r="D245" s="1"/>
      <c r="J245" s="1"/>
    </row>
    <row r="246" spans="1:10">
      <c r="A246" t="s">
        <v>100</v>
      </c>
      <c r="D246" s="1"/>
      <c r="H246" s="7"/>
      <c r="J246" s="1"/>
    </row>
    <row r="247" spans="1:10">
      <c r="A247" t="s">
        <v>100</v>
      </c>
      <c r="D247" s="1"/>
      <c r="H247" s="7"/>
      <c r="J247" s="1"/>
    </row>
    <row r="248" spans="1:10">
      <c r="A248" t="s">
        <v>100</v>
      </c>
      <c r="D248" s="1"/>
      <c r="H248" s="7"/>
      <c r="J248" s="1"/>
    </row>
    <row r="249" spans="1:10">
      <c r="A249" t="s">
        <v>100</v>
      </c>
      <c r="D249" s="1"/>
      <c r="H249" s="7"/>
      <c r="J249" s="1"/>
    </row>
    <row r="250" spans="1:10">
      <c r="A250" t="s">
        <v>100</v>
      </c>
      <c r="D250" s="1"/>
      <c r="H250" s="7"/>
      <c r="J250" s="1"/>
    </row>
    <row r="251" spans="1:10">
      <c r="A251" t="s">
        <v>100</v>
      </c>
      <c r="D251" s="1"/>
      <c r="H251" s="7"/>
      <c r="J251" s="1"/>
    </row>
    <row r="252" spans="1:10">
      <c r="A252" t="s">
        <v>100</v>
      </c>
      <c r="D252" s="1"/>
      <c r="H252" s="7"/>
      <c r="J252" s="1"/>
    </row>
    <row r="253" spans="1:10">
      <c r="A253" t="s">
        <v>100</v>
      </c>
      <c r="D253" s="1"/>
      <c r="H253" s="7"/>
      <c r="J253" s="1"/>
    </row>
    <row r="254" spans="1:10">
      <c r="A254" t="s">
        <v>100</v>
      </c>
      <c r="D254" s="1"/>
      <c r="H254" s="7"/>
      <c r="J254" s="1"/>
    </row>
    <row r="255" spans="1:10">
      <c r="A255" t="s">
        <v>100</v>
      </c>
      <c r="D255" s="1"/>
      <c r="H255" s="7"/>
      <c r="J255" s="1"/>
    </row>
    <row r="256" spans="1:10">
      <c r="A256" t="s">
        <v>100</v>
      </c>
      <c r="D256" s="1"/>
      <c r="H256" s="7"/>
      <c r="J256" s="1"/>
    </row>
    <row r="257" spans="1:10">
      <c r="A257" t="s">
        <v>100</v>
      </c>
      <c r="D257" s="1"/>
      <c r="H257" s="7"/>
      <c r="J257" s="1"/>
    </row>
    <row r="258" spans="1:10">
      <c r="A258" t="s">
        <v>100</v>
      </c>
      <c r="D258" s="1"/>
      <c r="H258" s="7"/>
      <c r="J258" s="1"/>
    </row>
    <row r="259" spans="1:10">
      <c r="A259" t="s">
        <v>100</v>
      </c>
      <c r="D259" s="1"/>
      <c r="H259" s="7"/>
      <c r="J259" s="1"/>
    </row>
    <row r="260" spans="1:10">
      <c r="A260" t="s">
        <v>100</v>
      </c>
      <c r="D260" s="1"/>
      <c r="H260" s="7"/>
      <c r="J260" s="1"/>
    </row>
    <row r="261" spans="1:10">
      <c r="A261" t="s">
        <v>100</v>
      </c>
      <c r="D261" s="1"/>
      <c r="H261" s="7"/>
      <c r="J261" s="1"/>
    </row>
    <row r="262" spans="1:10">
      <c r="A262" t="s">
        <v>100</v>
      </c>
      <c r="D262" s="1"/>
      <c r="H262" s="7"/>
      <c r="J262" s="1"/>
    </row>
    <row r="263" spans="1:10">
      <c r="A263" t="s">
        <v>100</v>
      </c>
      <c r="D263" s="1"/>
      <c r="H263" s="7"/>
      <c r="J263" s="1"/>
    </row>
    <row r="264" spans="1:10">
      <c r="A264" t="s">
        <v>100</v>
      </c>
      <c r="D264" s="1"/>
      <c r="H264" s="7"/>
      <c r="J264" s="1"/>
    </row>
    <row r="265" spans="1:10">
      <c r="A265" t="s">
        <v>100</v>
      </c>
      <c r="D265" s="1"/>
      <c r="H265" s="7"/>
      <c r="J265" s="1"/>
    </row>
    <row r="266" spans="1:10">
      <c r="A266" t="s">
        <v>100</v>
      </c>
      <c r="D266" s="1"/>
      <c r="H266" s="7"/>
      <c r="J266" s="1"/>
    </row>
    <row r="267" spans="1:10">
      <c r="A267" t="s">
        <v>100</v>
      </c>
      <c r="D267" s="1"/>
      <c r="H267" s="7"/>
      <c r="J267" s="1"/>
    </row>
    <row r="268" spans="1:10">
      <c r="A268" t="s">
        <v>100</v>
      </c>
      <c r="D268" s="1"/>
      <c r="H268" s="7"/>
      <c r="J268" s="1"/>
    </row>
    <row r="269" spans="1:10">
      <c r="A269" t="s">
        <v>100</v>
      </c>
      <c r="D269" s="1"/>
      <c r="H269" s="7"/>
      <c r="J269" s="1"/>
    </row>
    <row r="270" spans="1:10">
      <c r="A270" t="s">
        <v>100</v>
      </c>
      <c r="D270" s="1"/>
      <c r="H270" s="7"/>
      <c r="J270" s="1"/>
    </row>
    <row r="271" spans="1:10">
      <c r="A271" t="s">
        <v>100</v>
      </c>
      <c r="D271" s="1"/>
      <c r="H271" s="30"/>
      <c r="J271" s="9"/>
    </row>
    <row r="272" spans="1:10">
      <c r="A272" t="s">
        <v>100</v>
      </c>
      <c r="D272" s="1"/>
      <c r="H272" s="27"/>
      <c r="J272" s="9"/>
    </row>
    <row r="273" spans="1:10">
      <c r="A273" t="s">
        <v>100</v>
      </c>
      <c r="D273" s="1"/>
      <c r="H273" s="30"/>
      <c r="J273" s="9"/>
    </row>
    <row r="274" spans="1:10">
      <c r="A274" t="s">
        <v>100</v>
      </c>
      <c r="D274" s="1"/>
      <c r="H274" s="30"/>
      <c r="J274" s="9"/>
    </row>
    <row r="275" spans="1:10">
      <c r="A275" t="s">
        <v>100</v>
      </c>
      <c r="D275" s="1"/>
      <c r="H275" s="30"/>
      <c r="J275" s="9"/>
    </row>
    <row r="276" spans="1:10">
      <c r="A276" t="s">
        <v>100</v>
      </c>
      <c r="D276" s="1"/>
      <c r="H276" s="7"/>
      <c r="J276" s="1"/>
    </row>
    <row r="277" spans="1:10">
      <c r="A277" t="s">
        <v>100</v>
      </c>
      <c r="D277" s="1"/>
      <c r="H277" s="30"/>
      <c r="J277" s="9"/>
    </row>
    <row r="278" spans="1:10">
      <c r="A278" t="s">
        <v>100</v>
      </c>
      <c r="D278" s="1"/>
      <c r="H278" s="30"/>
      <c r="J278" s="9"/>
    </row>
    <row r="279" spans="1:10">
      <c r="A279" t="s">
        <v>100</v>
      </c>
      <c r="D279" s="1"/>
      <c r="H279" s="30"/>
      <c r="J279" s="9"/>
    </row>
    <row r="280" spans="1:10">
      <c r="A280" t="s">
        <v>100</v>
      </c>
      <c r="D280" s="1"/>
      <c r="H280" s="30"/>
      <c r="J280" s="9"/>
    </row>
    <row r="281" spans="1:10">
      <c r="A281" t="s">
        <v>100</v>
      </c>
      <c r="D281" s="1"/>
      <c r="H281" s="30"/>
      <c r="J281" s="9"/>
    </row>
    <row r="282" spans="1:10">
      <c r="A282" t="s">
        <v>100</v>
      </c>
      <c r="D282" s="1"/>
      <c r="H282" s="30"/>
      <c r="J282" s="9"/>
    </row>
    <row r="283" spans="1:10">
      <c r="A283" t="s">
        <v>100</v>
      </c>
      <c r="D283" s="1"/>
      <c r="H283" s="30"/>
      <c r="J283" s="9"/>
    </row>
    <row r="284" spans="1:10">
      <c r="A284" t="s">
        <v>100</v>
      </c>
      <c r="D284" s="1"/>
      <c r="H284" s="30"/>
      <c r="J284" s="1"/>
    </row>
    <row r="285" spans="1:10">
      <c r="A285" t="s">
        <v>100</v>
      </c>
      <c r="D285" s="1"/>
      <c r="H285" s="7"/>
      <c r="J285" s="1"/>
    </row>
    <row r="286" spans="1:10">
      <c r="A286" t="s">
        <v>100</v>
      </c>
      <c r="D286" s="1"/>
      <c r="H286" s="7"/>
      <c r="J286" s="1"/>
    </row>
    <row r="287" spans="1:10">
      <c r="A287" t="s">
        <v>100</v>
      </c>
      <c r="D287" s="1"/>
      <c r="H287" s="7"/>
      <c r="J287" s="1"/>
    </row>
    <row r="288" spans="1:10">
      <c r="A288" t="s">
        <v>100</v>
      </c>
      <c r="D288" s="1"/>
      <c r="H288" s="7"/>
      <c r="J288" s="1"/>
    </row>
    <row r="289" spans="1:10">
      <c r="A289" t="s">
        <v>100</v>
      </c>
      <c r="D289" s="1"/>
      <c r="H289" s="7"/>
      <c r="J289" s="1"/>
    </row>
    <row r="290" spans="1:10">
      <c r="A290" t="s">
        <v>100</v>
      </c>
      <c r="D290" s="1"/>
      <c r="H290" s="7"/>
      <c r="J290" s="9"/>
    </row>
    <row r="291" spans="1:10">
      <c r="A291" t="s">
        <v>17</v>
      </c>
      <c r="D291" s="1"/>
      <c r="H291" s="7"/>
      <c r="J291" s="1"/>
    </row>
    <row r="292" spans="1:10">
      <c r="A292" t="s">
        <v>17</v>
      </c>
      <c r="D292" s="1"/>
      <c r="H292" s="7"/>
      <c r="J292" s="1"/>
    </row>
    <row r="293" spans="1:10">
      <c r="A293" t="s">
        <v>17</v>
      </c>
      <c r="D293" s="1"/>
      <c r="H293" s="7"/>
      <c r="J293" s="1"/>
    </row>
    <row r="294" spans="1:10">
      <c r="A294" t="s">
        <v>17</v>
      </c>
      <c r="D294" s="1"/>
      <c r="H294" s="7"/>
      <c r="J294" s="1"/>
    </row>
    <row r="295" spans="1:10">
      <c r="A295" t="s">
        <v>17</v>
      </c>
      <c r="D295" s="1"/>
      <c r="H295" s="7"/>
      <c r="J295" s="1"/>
    </row>
    <row r="296" spans="1:10">
      <c r="A296" t="s">
        <v>17</v>
      </c>
      <c r="D296" s="1"/>
      <c r="H296" s="7"/>
      <c r="J296" s="1"/>
    </row>
    <row r="297" spans="1:10">
      <c r="A297" t="s">
        <v>17</v>
      </c>
      <c r="D297" s="1"/>
      <c r="H297" s="7"/>
      <c r="J297" s="1"/>
    </row>
    <row r="298" spans="1:10">
      <c r="A298" t="s">
        <v>17</v>
      </c>
      <c r="D298" s="1"/>
      <c r="H298" s="7"/>
      <c r="J298" s="1"/>
    </row>
    <row r="299" spans="1:10">
      <c r="A299" t="s">
        <v>17</v>
      </c>
      <c r="D299" s="1"/>
      <c r="H299" s="7"/>
      <c r="J299" s="1"/>
    </row>
    <row r="300" spans="1:10">
      <c r="A300" t="s">
        <v>17</v>
      </c>
      <c r="D300" s="1"/>
      <c r="H300" s="7"/>
      <c r="J300" s="1"/>
    </row>
    <row r="301" spans="1:10">
      <c r="A301" t="s">
        <v>17</v>
      </c>
      <c r="D301" s="1"/>
      <c r="H301" s="7"/>
      <c r="J301" s="1"/>
    </row>
    <row r="302" spans="1:10">
      <c r="A302" t="s">
        <v>17</v>
      </c>
      <c r="D302" s="1"/>
      <c r="H302" s="7"/>
      <c r="J302" s="1"/>
    </row>
    <row r="303" spans="1:10">
      <c r="A303" t="s">
        <v>17</v>
      </c>
      <c r="D303" s="1"/>
      <c r="H303" s="7"/>
      <c r="J303" s="1"/>
    </row>
    <row r="304" spans="1:10">
      <c r="A304" t="s">
        <v>17</v>
      </c>
      <c r="D304" s="1"/>
      <c r="H304" s="7"/>
      <c r="J304" s="1"/>
    </row>
    <row r="305" spans="1:11">
      <c r="A305" t="s">
        <v>17</v>
      </c>
      <c r="D305" s="1"/>
      <c r="H305" s="7"/>
      <c r="J305" s="1"/>
    </row>
    <row r="306" spans="1:11">
      <c r="A306" t="s">
        <v>17</v>
      </c>
      <c r="D306" s="1"/>
      <c r="H306" s="7"/>
    </row>
    <row r="307" spans="1:11">
      <c r="A307" t="s">
        <v>17</v>
      </c>
      <c r="D307" s="1"/>
      <c r="H307" s="7"/>
      <c r="J307" s="1"/>
    </row>
    <row r="308" spans="1:11">
      <c r="A308" t="s">
        <v>17</v>
      </c>
      <c r="D308" s="1"/>
      <c r="H308" s="7"/>
      <c r="J308" s="1"/>
    </row>
    <row r="309" spans="1:11">
      <c r="A309" t="s">
        <v>17</v>
      </c>
      <c r="D309" s="1"/>
      <c r="H309" s="7"/>
      <c r="J309" s="17"/>
    </row>
    <row r="310" spans="1:11">
      <c r="A310" t="s">
        <v>17</v>
      </c>
      <c r="D310" s="1"/>
      <c r="H310" s="7"/>
      <c r="J310" s="17"/>
    </row>
    <row r="311" spans="1:11">
      <c r="A311" t="s">
        <v>17</v>
      </c>
      <c r="D311" s="1"/>
      <c r="H311" s="7"/>
      <c r="J311" s="17"/>
    </row>
    <row r="312" spans="1:11">
      <c r="A312" t="s">
        <v>17</v>
      </c>
      <c r="D312" s="1"/>
      <c r="H312" s="7"/>
      <c r="J312" s="1"/>
    </row>
    <row r="313" spans="1:11">
      <c r="A313" t="s">
        <v>17</v>
      </c>
      <c r="D313" s="1"/>
      <c r="H313" s="7"/>
      <c r="J313" s="1"/>
    </row>
    <row r="314" spans="1:11">
      <c r="A314" t="s">
        <v>17</v>
      </c>
      <c r="D314" s="1"/>
      <c r="H314" s="7"/>
      <c r="J314" s="1"/>
    </row>
    <row r="315" spans="1:11">
      <c r="A315" t="s">
        <v>17</v>
      </c>
      <c r="D315" s="1"/>
      <c r="H315" s="7"/>
      <c r="K315" s="1"/>
    </row>
    <row r="316" spans="1:11">
      <c r="A316" t="s">
        <v>17</v>
      </c>
      <c r="D316" s="1"/>
      <c r="H316" s="7"/>
      <c r="K316" s="1"/>
    </row>
    <row r="317" spans="1:11">
      <c r="A317" t="s">
        <v>17</v>
      </c>
      <c r="D317" s="1"/>
      <c r="H317" s="7"/>
      <c r="K317" s="1"/>
    </row>
    <row r="318" spans="1:11">
      <c r="A318" t="s">
        <v>17</v>
      </c>
      <c r="D318" s="1"/>
      <c r="H318" s="7"/>
      <c r="J318" s="1"/>
    </row>
    <row r="319" spans="1:11">
      <c r="A319" t="s">
        <v>17</v>
      </c>
      <c r="D319" s="1"/>
      <c r="H319" s="7"/>
      <c r="J319" s="1"/>
    </row>
    <row r="320" spans="1:11">
      <c r="A320" t="s">
        <v>17</v>
      </c>
      <c r="D320" s="1"/>
      <c r="H320" s="7"/>
      <c r="J320" s="1"/>
    </row>
    <row r="321" spans="1:10">
      <c r="A321" t="s">
        <v>17</v>
      </c>
      <c r="D321" s="1"/>
      <c r="H321" s="7"/>
      <c r="J321" s="1"/>
    </row>
    <row r="322" spans="1:10">
      <c r="A322" t="s">
        <v>17</v>
      </c>
      <c r="D322" s="1"/>
      <c r="H322" s="7"/>
      <c r="J322" s="1"/>
    </row>
    <row r="323" spans="1:10">
      <c r="A323" t="s">
        <v>17</v>
      </c>
      <c r="D323" s="1"/>
      <c r="H323" s="7"/>
      <c r="J323" s="1"/>
    </row>
    <row r="324" spans="1:10">
      <c r="A324" t="s">
        <v>17</v>
      </c>
      <c r="D324" s="1"/>
      <c r="H324" s="7"/>
      <c r="J324" s="1"/>
    </row>
    <row r="325" spans="1:10">
      <c r="A325" t="s">
        <v>17</v>
      </c>
      <c r="D325" s="1"/>
      <c r="H325" s="7"/>
      <c r="J325" s="1"/>
    </row>
    <row r="326" spans="1:10">
      <c r="A326" t="s">
        <v>17</v>
      </c>
      <c r="D326" s="1"/>
      <c r="H326" s="7"/>
      <c r="J326" s="1"/>
    </row>
    <row r="327" spans="1:10">
      <c r="A327" t="s">
        <v>18</v>
      </c>
      <c r="D327" s="1"/>
      <c r="H327" s="7"/>
      <c r="J327" s="1"/>
    </row>
    <row r="328" spans="1:10">
      <c r="A328" t="s">
        <v>18</v>
      </c>
      <c r="D328" s="1"/>
      <c r="H328" s="7"/>
      <c r="J328" s="1"/>
    </row>
    <row r="329" spans="1:10">
      <c r="A329" t="s">
        <v>18</v>
      </c>
      <c r="D329" s="1"/>
      <c r="H329" s="7"/>
      <c r="J329" s="1"/>
    </row>
    <row r="330" spans="1:10">
      <c r="A330" t="s">
        <v>18</v>
      </c>
      <c r="D330" s="1"/>
      <c r="H330" s="7"/>
    </row>
    <row r="331" spans="1:10">
      <c r="A331" t="s">
        <v>18</v>
      </c>
      <c r="D331" s="1"/>
      <c r="H331" s="7"/>
      <c r="J331" s="9"/>
    </row>
    <row r="332" spans="1:10">
      <c r="A332" t="s">
        <v>18</v>
      </c>
      <c r="D332" s="1"/>
      <c r="H332" s="7"/>
      <c r="J332" s="9"/>
    </row>
    <row r="333" spans="1:10">
      <c r="A333" t="s">
        <v>18</v>
      </c>
      <c r="D333" s="1"/>
      <c r="H333" s="7"/>
      <c r="J333" s="9"/>
    </row>
    <row r="334" spans="1:10">
      <c r="A334" t="s">
        <v>18</v>
      </c>
      <c r="D334" s="1"/>
      <c r="H334" s="7"/>
      <c r="J334" s="1"/>
    </row>
    <row r="335" spans="1:10">
      <c r="A335" t="s">
        <v>18</v>
      </c>
      <c r="D335" s="1"/>
      <c r="H335" s="7"/>
      <c r="J335" s="1"/>
    </row>
    <row r="336" spans="1:10">
      <c r="A336" t="s">
        <v>18</v>
      </c>
      <c r="D336" s="1"/>
      <c r="H336" s="7"/>
      <c r="J336" s="1"/>
    </row>
    <row r="337" spans="1:10">
      <c r="A337" t="s">
        <v>18</v>
      </c>
      <c r="D337" s="1"/>
      <c r="H337" s="7"/>
      <c r="J337" s="9"/>
    </row>
    <row r="338" spans="1:10">
      <c r="A338" t="s">
        <v>18</v>
      </c>
      <c r="D338" s="1"/>
      <c r="H338" s="7"/>
      <c r="J338" s="9"/>
    </row>
    <row r="339" spans="1:10">
      <c r="A339" t="s">
        <v>18</v>
      </c>
      <c r="D339" s="1"/>
      <c r="H339" s="7"/>
      <c r="J339" s="9"/>
    </row>
    <row r="340" spans="1:10">
      <c r="A340" t="s">
        <v>18</v>
      </c>
      <c r="D340" s="1"/>
      <c r="J340" s="9"/>
    </row>
    <row r="341" spans="1:10">
      <c r="A341" t="s">
        <v>18</v>
      </c>
      <c r="D341" s="1"/>
      <c r="H341" s="7"/>
      <c r="J341" s="1"/>
    </row>
    <row r="342" spans="1:10">
      <c r="A342" t="s">
        <v>18</v>
      </c>
      <c r="D342" s="1"/>
      <c r="H342" s="7"/>
      <c r="J342" s="1"/>
    </row>
    <row r="343" spans="1:10">
      <c r="A343" t="s">
        <v>18</v>
      </c>
      <c r="D343" s="1"/>
      <c r="H343" s="7"/>
      <c r="J343" s="9"/>
    </row>
    <row r="344" spans="1:10">
      <c r="A344" t="s">
        <v>18</v>
      </c>
      <c r="D344" s="1"/>
      <c r="H344" s="7"/>
      <c r="J344" s="1"/>
    </row>
    <row r="345" spans="1:10">
      <c r="A345" t="s">
        <v>18</v>
      </c>
      <c r="D345" s="1"/>
      <c r="H345" s="7"/>
      <c r="J345" s="1"/>
    </row>
    <row r="346" spans="1:10">
      <c r="A346" t="s">
        <v>18</v>
      </c>
      <c r="D346" s="1"/>
      <c r="H346" s="27"/>
      <c r="J346" s="1"/>
    </row>
    <row r="347" spans="1:10">
      <c r="A347" t="s">
        <v>18</v>
      </c>
      <c r="D347" s="1"/>
      <c r="H347" s="7"/>
      <c r="J347" s="1"/>
    </row>
    <row r="348" spans="1:10">
      <c r="A348" t="s">
        <v>18</v>
      </c>
      <c r="D348" s="1"/>
      <c r="H348" s="7"/>
      <c r="J348" s="1"/>
    </row>
    <row r="349" spans="1:10">
      <c r="A349" t="s">
        <v>18</v>
      </c>
      <c r="D349" s="1"/>
      <c r="H349" s="7"/>
      <c r="J349" s="1"/>
    </row>
    <row r="350" spans="1:10">
      <c r="A350" t="s">
        <v>18</v>
      </c>
      <c r="D350" s="1"/>
      <c r="H350" s="7"/>
      <c r="J350" s="1"/>
    </row>
    <row r="351" spans="1:10">
      <c r="A351" t="s">
        <v>18</v>
      </c>
      <c r="D351" s="1"/>
      <c r="H351" s="7"/>
      <c r="J351" s="1"/>
    </row>
    <row r="352" spans="1:10">
      <c r="A352" t="s">
        <v>18</v>
      </c>
      <c r="D352" s="1"/>
      <c r="H352" s="7"/>
      <c r="J352" s="1"/>
    </row>
    <row r="353" spans="1:10">
      <c r="A353" t="s">
        <v>18</v>
      </c>
      <c r="D353" s="1"/>
      <c r="H353" s="7"/>
      <c r="J353" s="1"/>
    </row>
    <row r="354" spans="1:10">
      <c r="A354" t="s">
        <v>18</v>
      </c>
      <c r="D354" s="1"/>
      <c r="H354" s="7"/>
      <c r="J354" s="1"/>
    </row>
    <row r="355" spans="1:10">
      <c r="A355" t="s">
        <v>18</v>
      </c>
      <c r="D355" s="1"/>
      <c r="H355" s="7"/>
      <c r="J355" s="1"/>
    </row>
    <row r="356" spans="1:10">
      <c r="A356" t="s">
        <v>18</v>
      </c>
      <c r="D356" s="1"/>
      <c r="H356" s="7"/>
      <c r="J356" s="1"/>
    </row>
    <row r="357" spans="1:10">
      <c r="A357" t="s">
        <v>18</v>
      </c>
      <c r="D357" s="1"/>
      <c r="H357" s="7"/>
      <c r="J357" s="1"/>
    </row>
    <row r="358" spans="1:10">
      <c r="A358" t="s">
        <v>18</v>
      </c>
      <c r="D358" s="1"/>
      <c r="H358" s="7"/>
      <c r="J358" s="1"/>
    </row>
    <row r="359" spans="1:10">
      <c r="A359" t="s">
        <v>18</v>
      </c>
      <c r="D359" s="1"/>
      <c r="H359" s="7"/>
      <c r="J359" s="1"/>
    </row>
    <row r="360" spans="1:10">
      <c r="A360" t="s">
        <v>18</v>
      </c>
      <c r="D360" s="1"/>
      <c r="H360" s="7"/>
      <c r="J360" s="1"/>
    </row>
    <row r="361" spans="1:10">
      <c r="A361" t="s">
        <v>18</v>
      </c>
      <c r="D361" s="1"/>
      <c r="H361" s="7"/>
      <c r="J361" s="1"/>
    </row>
    <row r="362" spans="1:10">
      <c r="A362" t="s">
        <v>18</v>
      </c>
      <c r="D362" s="1"/>
      <c r="H362" s="7"/>
      <c r="J362" s="1"/>
    </row>
    <row r="363" spans="1:10">
      <c r="A363" t="s">
        <v>18</v>
      </c>
      <c r="D363" s="1"/>
      <c r="H363" s="27"/>
      <c r="J363" s="1"/>
    </row>
    <row r="364" spans="1:10">
      <c r="A364" t="s">
        <v>18</v>
      </c>
      <c r="D364" s="1"/>
      <c r="H364" s="27"/>
      <c r="J364" s="1"/>
    </row>
    <row r="365" spans="1:10">
      <c r="A365" t="s">
        <v>18</v>
      </c>
      <c r="D365" s="1"/>
      <c r="E365" s="16"/>
      <c r="H365" s="27"/>
    </row>
    <row r="366" spans="1:10">
      <c r="A366" t="s">
        <v>18</v>
      </c>
      <c r="D366" s="1"/>
      <c r="E366" s="16"/>
      <c r="H366" s="27"/>
    </row>
    <row r="367" spans="1:10">
      <c r="A367" t="s">
        <v>18</v>
      </c>
      <c r="D367" s="1"/>
      <c r="H367" s="7"/>
      <c r="J367" s="1"/>
    </row>
    <row r="368" spans="1:10">
      <c r="A368" t="s">
        <v>18</v>
      </c>
      <c r="D368" s="1"/>
      <c r="H368" s="7"/>
    </row>
    <row r="369" spans="1:10">
      <c r="A369" t="s">
        <v>18</v>
      </c>
      <c r="D369" s="1"/>
      <c r="H369" s="27"/>
    </row>
    <row r="370" spans="1:10">
      <c r="A370" t="s">
        <v>18</v>
      </c>
      <c r="D370" s="1"/>
      <c r="H370" s="27"/>
      <c r="J370" s="9"/>
    </row>
    <row r="371" spans="1:10">
      <c r="A371" t="s">
        <v>18</v>
      </c>
      <c r="D371" s="1"/>
      <c r="H371" s="27"/>
      <c r="J371" s="9"/>
    </row>
    <row r="372" spans="1:10">
      <c r="A372" t="s">
        <v>18</v>
      </c>
      <c r="D372" s="1"/>
      <c r="H372" s="7"/>
      <c r="J372" s="1"/>
    </row>
    <row r="373" spans="1:10">
      <c r="A373" t="s">
        <v>18</v>
      </c>
      <c r="D373" s="1"/>
      <c r="H373" s="30"/>
      <c r="I373" s="9"/>
      <c r="J373" s="9"/>
    </row>
    <row r="374" spans="1:10">
      <c r="A374" t="s">
        <v>18</v>
      </c>
      <c r="D374" s="1"/>
      <c r="H374" s="7"/>
      <c r="J374" s="9"/>
    </row>
    <row r="375" spans="1:10" ht="15.75">
      <c r="A375" s="39" t="s">
        <v>19</v>
      </c>
      <c r="D375" s="1"/>
      <c r="H375" s="7"/>
      <c r="J375" s="1"/>
    </row>
    <row r="376" spans="1:10" ht="15.75">
      <c r="A376" s="39" t="s">
        <v>19</v>
      </c>
      <c r="D376" s="1"/>
      <c r="H376" s="7"/>
      <c r="J376" s="1"/>
    </row>
    <row r="377" spans="1:10" ht="15.75">
      <c r="A377" s="39" t="s">
        <v>19</v>
      </c>
      <c r="D377" s="1"/>
      <c r="H377" s="7"/>
      <c r="J377" s="1"/>
    </row>
    <row r="378" spans="1:10" ht="15.75">
      <c r="A378" s="39" t="s">
        <v>19</v>
      </c>
      <c r="D378" s="1"/>
      <c r="H378" s="7"/>
      <c r="J378" s="1"/>
    </row>
    <row r="379" spans="1:10" ht="15.75">
      <c r="A379" s="39" t="s">
        <v>19</v>
      </c>
      <c r="D379" s="1"/>
      <c r="H379" s="7"/>
      <c r="J379" s="1"/>
    </row>
    <row r="380" spans="1:10" ht="15.75">
      <c r="A380" s="39" t="s">
        <v>19</v>
      </c>
      <c r="D380" s="1"/>
      <c r="H380" s="7"/>
      <c r="J380" s="9"/>
    </row>
    <row r="381" spans="1:10" ht="15.75">
      <c r="A381" s="39" t="s">
        <v>19</v>
      </c>
      <c r="D381" s="1"/>
      <c r="H381" s="7"/>
      <c r="J381" s="9"/>
    </row>
    <row r="382" spans="1:10" ht="15.75">
      <c r="A382" s="39" t="s">
        <v>19</v>
      </c>
      <c r="D382" s="1"/>
      <c r="H382" s="7"/>
      <c r="J382" s="1"/>
    </row>
    <row r="383" spans="1:10" ht="15.75">
      <c r="A383" s="39" t="s">
        <v>19</v>
      </c>
      <c r="D383" s="1"/>
      <c r="H383" s="7"/>
      <c r="J383" s="1"/>
    </row>
    <row r="384" spans="1:10" ht="15.75">
      <c r="A384" s="39" t="s">
        <v>19</v>
      </c>
      <c r="D384" s="1"/>
      <c r="H384" s="7"/>
      <c r="J384" s="1"/>
    </row>
    <row r="385" spans="1:10" ht="15.75">
      <c r="A385" s="39" t="s">
        <v>19</v>
      </c>
      <c r="D385" s="1"/>
      <c r="H385" s="7"/>
      <c r="J385" s="1"/>
    </row>
    <row r="386" spans="1:10" ht="15.75">
      <c r="A386" s="39" t="s">
        <v>19</v>
      </c>
      <c r="D386" s="1"/>
      <c r="H386" s="7"/>
      <c r="J386" s="1"/>
    </row>
    <row r="387" spans="1:10" ht="15.75">
      <c r="A387" s="39" t="s">
        <v>19</v>
      </c>
      <c r="D387" s="1"/>
      <c r="H387" s="7"/>
      <c r="J387" s="1"/>
    </row>
    <row r="388" spans="1:10" ht="15.75">
      <c r="A388" s="39" t="s">
        <v>19</v>
      </c>
      <c r="D388" s="1"/>
      <c r="H388" s="7"/>
      <c r="J388" s="1"/>
    </row>
    <row r="389" spans="1:10" ht="15.75">
      <c r="A389" s="39" t="s">
        <v>19</v>
      </c>
      <c r="D389" s="1"/>
      <c r="H389" s="7"/>
      <c r="J389" s="1"/>
    </row>
    <row r="390" spans="1:10" ht="15.75">
      <c r="A390" s="39" t="s">
        <v>19</v>
      </c>
      <c r="D390" s="1"/>
      <c r="H390" s="7"/>
      <c r="J390" s="1"/>
    </row>
    <row r="391" spans="1:10" ht="15.75">
      <c r="A391" s="39" t="s">
        <v>19</v>
      </c>
      <c r="D391" s="37"/>
      <c r="H391" s="7"/>
      <c r="J391" s="1"/>
    </row>
    <row r="392" spans="1:10" ht="15.75">
      <c r="A392" s="39" t="s">
        <v>19</v>
      </c>
      <c r="D392" s="37"/>
      <c r="H392" s="7"/>
      <c r="J392" s="1"/>
    </row>
    <row r="393" spans="1:10" ht="15.75">
      <c r="A393" s="39" t="s">
        <v>19</v>
      </c>
      <c r="D393" s="37"/>
      <c r="H393" s="7"/>
      <c r="J393" s="1"/>
    </row>
    <row r="394" spans="1:10" ht="15.75">
      <c r="A394" s="39" t="s">
        <v>19</v>
      </c>
      <c r="D394" s="37"/>
      <c r="H394" s="7"/>
      <c r="J394" s="1"/>
    </row>
    <row r="395" spans="1:10" ht="15.75">
      <c r="A395" s="39" t="s">
        <v>19</v>
      </c>
      <c r="D395" s="37"/>
      <c r="H395" s="7"/>
      <c r="J395" s="1"/>
    </row>
    <row r="396" spans="1:10" ht="15.75">
      <c r="A396" s="39" t="s">
        <v>19</v>
      </c>
      <c r="D396" s="37"/>
      <c r="H396" s="7"/>
      <c r="J396" s="1"/>
    </row>
    <row r="397" spans="1:10" ht="15.75">
      <c r="A397" s="39" t="s">
        <v>19</v>
      </c>
      <c r="D397" s="37"/>
      <c r="H397" s="7"/>
      <c r="J397" s="1"/>
    </row>
    <row r="398" spans="1:10" ht="15.75">
      <c r="A398" s="39" t="s">
        <v>19</v>
      </c>
      <c r="D398" s="37"/>
      <c r="H398" s="7"/>
      <c r="J398" s="1"/>
    </row>
    <row r="399" spans="1:10" ht="15.75">
      <c r="A399" s="39" t="s">
        <v>19</v>
      </c>
      <c r="D399" s="37"/>
      <c r="H399" s="7"/>
      <c r="J399" s="1"/>
    </row>
    <row r="400" spans="1:10" ht="15.75">
      <c r="A400" s="39" t="s">
        <v>19</v>
      </c>
      <c r="D400" s="1"/>
      <c r="H400" s="7"/>
      <c r="J400" s="1"/>
    </row>
    <row r="401" spans="1:10" ht="15.75">
      <c r="A401" s="39" t="s">
        <v>19</v>
      </c>
      <c r="D401" s="1"/>
      <c r="H401" s="7"/>
      <c r="J401" s="1"/>
    </row>
    <row r="402" spans="1:10" ht="15.75">
      <c r="A402" s="39" t="s">
        <v>19</v>
      </c>
      <c r="D402" s="1"/>
      <c r="H402" s="7"/>
      <c r="J402" s="1"/>
    </row>
    <row r="403" spans="1:10" ht="15.75">
      <c r="A403" s="39" t="s">
        <v>19</v>
      </c>
      <c r="D403" s="1"/>
      <c r="H403" s="7"/>
      <c r="J403" s="1"/>
    </row>
    <row r="404" spans="1:10" ht="15.75">
      <c r="A404" s="39" t="s">
        <v>19</v>
      </c>
      <c r="D404" s="1"/>
      <c r="H404" s="7"/>
      <c r="J404" s="1"/>
    </row>
    <row r="405" spans="1:10" ht="15.75">
      <c r="A405" s="39" t="s">
        <v>19</v>
      </c>
      <c r="D405" s="1"/>
      <c r="H405" s="7"/>
      <c r="J405" s="1"/>
    </row>
    <row r="406" spans="1:10" ht="15.75">
      <c r="A406" s="39" t="s">
        <v>19</v>
      </c>
      <c r="D406" s="1"/>
      <c r="H406" s="7"/>
      <c r="J406" s="1"/>
    </row>
    <row r="407" spans="1:10" ht="15.75">
      <c r="A407" s="39" t="s">
        <v>19</v>
      </c>
      <c r="D407" s="1"/>
      <c r="H407" s="7"/>
      <c r="J407" s="1"/>
    </row>
    <row r="408" spans="1:10" ht="15.75">
      <c r="A408" s="39" t="s">
        <v>19</v>
      </c>
      <c r="D408" s="1"/>
      <c r="H408" s="7"/>
      <c r="J408" s="1"/>
    </row>
    <row r="409" spans="1:10" ht="15.75">
      <c r="A409" s="39" t="s">
        <v>19</v>
      </c>
      <c r="D409" s="1"/>
      <c r="H409" s="7"/>
      <c r="J409" s="17"/>
    </row>
    <row r="410" spans="1:10" ht="15.75">
      <c r="A410" s="39" t="s">
        <v>19</v>
      </c>
      <c r="D410" s="1"/>
      <c r="H410" s="7"/>
      <c r="J410" s="9"/>
    </row>
    <row r="411" spans="1:10" ht="15.75">
      <c r="A411" s="39" t="s">
        <v>19</v>
      </c>
      <c r="D411" s="1"/>
      <c r="H411" s="7"/>
      <c r="J411" s="9"/>
    </row>
    <row r="412" spans="1:10" ht="15.75">
      <c r="A412" s="39" t="s">
        <v>19</v>
      </c>
      <c r="D412" s="1"/>
      <c r="H412" s="7"/>
      <c r="J412" s="9"/>
    </row>
    <row r="413" spans="1:10" ht="15.75">
      <c r="A413" s="39" t="s">
        <v>19</v>
      </c>
      <c r="D413" s="1"/>
      <c r="H413" s="7"/>
      <c r="J413" s="1"/>
    </row>
    <row r="414" spans="1:10" ht="15.75">
      <c r="A414" s="39" t="s">
        <v>19</v>
      </c>
      <c r="D414" s="1"/>
      <c r="H414" s="7"/>
      <c r="J414" s="1"/>
    </row>
    <row r="415" spans="1:10" ht="15.75">
      <c r="A415" s="39" t="s">
        <v>19</v>
      </c>
      <c r="D415" s="1"/>
      <c r="H415" s="7"/>
      <c r="J415" s="1"/>
    </row>
    <row r="416" spans="1:10" ht="15.75">
      <c r="A416" s="39" t="s">
        <v>19</v>
      </c>
      <c r="D416" s="1"/>
      <c r="H416" s="7"/>
      <c r="J416" s="1"/>
    </row>
    <row r="417" spans="1:10" ht="15.75">
      <c r="A417" s="39" t="s">
        <v>19</v>
      </c>
      <c r="D417" s="1"/>
      <c r="H417" s="7"/>
      <c r="J417" s="1"/>
    </row>
    <row r="418" spans="1:10" ht="15.75">
      <c r="A418" s="39" t="s">
        <v>19</v>
      </c>
      <c r="D418" s="1"/>
      <c r="H418" s="7"/>
      <c r="J418" s="1"/>
    </row>
    <row r="419" spans="1:10" ht="15.75">
      <c r="A419" s="39" t="s">
        <v>19</v>
      </c>
      <c r="D419" s="1"/>
      <c r="H419" s="7"/>
      <c r="J419" s="1"/>
    </row>
    <row r="420" spans="1:10" ht="15.75">
      <c r="A420" s="39" t="s">
        <v>19</v>
      </c>
      <c r="D420" s="1"/>
      <c r="H420" s="7"/>
      <c r="J420" s="1"/>
    </row>
    <row r="421" spans="1:10" ht="15.75">
      <c r="A421" s="39" t="s">
        <v>19</v>
      </c>
      <c r="D421" s="1"/>
      <c r="H421" s="7"/>
      <c r="J421" s="1"/>
    </row>
    <row r="422" spans="1:10" ht="15.75">
      <c r="A422" s="39" t="s">
        <v>19</v>
      </c>
      <c r="D422" s="1"/>
      <c r="H422" s="7"/>
      <c r="J422" s="1"/>
    </row>
    <row r="423" spans="1:10" ht="15.75">
      <c r="A423" s="39" t="s">
        <v>19</v>
      </c>
      <c r="D423" s="1"/>
      <c r="H423" s="7"/>
      <c r="J423" s="1"/>
    </row>
    <row r="424" spans="1:10" ht="19.5">
      <c r="A424" s="39" t="s">
        <v>19</v>
      </c>
      <c r="D424" s="32"/>
      <c r="E424" s="34"/>
      <c r="H424" s="38"/>
      <c r="J424" s="1"/>
    </row>
    <row r="425" spans="1:10" ht="19.5">
      <c r="A425" s="39" t="s">
        <v>19</v>
      </c>
      <c r="D425" s="32"/>
      <c r="E425" s="33"/>
      <c r="G425" s="80"/>
      <c r="H425" s="38"/>
      <c r="J425" s="1"/>
    </row>
    <row r="426" spans="1:10" ht="19.5">
      <c r="A426" s="39" t="s">
        <v>19</v>
      </c>
      <c r="D426" s="32"/>
      <c r="E426" s="33"/>
      <c r="G426" s="81"/>
      <c r="H426" s="34"/>
      <c r="J426" s="1"/>
    </row>
    <row r="427" spans="1:10" ht="19.5">
      <c r="A427" s="39" t="s">
        <v>19</v>
      </c>
      <c r="D427" s="32"/>
      <c r="E427" s="33"/>
      <c r="G427" s="81"/>
      <c r="H427" s="34"/>
      <c r="J427" s="1"/>
    </row>
    <row r="428" spans="1:10" ht="15.75">
      <c r="A428" s="39" t="s">
        <v>19</v>
      </c>
      <c r="D428" s="35"/>
      <c r="E428" s="33"/>
      <c r="G428" s="81"/>
      <c r="H428" s="34"/>
      <c r="J428" s="1"/>
    </row>
    <row r="429" spans="1:10" ht="19.5">
      <c r="A429" s="39" t="s">
        <v>19</v>
      </c>
      <c r="D429" s="32"/>
      <c r="E429" s="33"/>
      <c r="G429" s="81"/>
      <c r="H429" s="34"/>
      <c r="J429" s="1"/>
    </row>
    <row r="430" spans="1:10" ht="19.5">
      <c r="A430" s="39" t="s">
        <v>19</v>
      </c>
      <c r="D430" s="32"/>
      <c r="E430" s="33"/>
      <c r="G430" s="81"/>
      <c r="H430" s="34"/>
      <c r="J430" s="1"/>
    </row>
    <row r="431" spans="1:10" ht="19.5">
      <c r="A431" s="39" t="s">
        <v>19</v>
      </c>
      <c r="D431" s="32"/>
      <c r="E431" s="33"/>
      <c r="G431" s="81"/>
      <c r="H431" s="34"/>
      <c r="J431" s="1"/>
    </row>
    <row r="432" spans="1:10" ht="19.5">
      <c r="A432" s="39" t="s">
        <v>19</v>
      </c>
      <c r="D432" s="32"/>
      <c r="E432" s="33"/>
      <c r="G432" s="81"/>
      <c r="H432" s="34"/>
      <c r="J432" s="1"/>
    </row>
    <row r="433" spans="1:10" ht="19.5">
      <c r="A433" s="39" t="s">
        <v>19</v>
      </c>
      <c r="D433" s="32"/>
      <c r="E433" s="33"/>
      <c r="G433" s="81"/>
      <c r="H433" s="34"/>
      <c r="J433" s="1"/>
    </row>
    <row r="434" spans="1:10" ht="19.5">
      <c r="A434" s="39" t="s">
        <v>19</v>
      </c>
      <c r="D434" s="32"/>
      <c r="E434" s="33"/>
      <c r="G434" s="81"/>
      <c r="H434" s="34"/>
      <c r="J434" s="1"/>
    </row>
    <row r="435" spans="1:10" ht="19.5">
      <c r="A435" s="39" t="s">
        <v>19</v>
      </c>
      <c r="D435" s="32"/>
      <c r="E435" s="33"/>
      <c r="G435" s="81"/>
      <c r="H435" s="34"/>
      <c r="J435" s="1"/>
    </row>
    <row r="436" spans="1:10" ht="19.5">
      <c r="A436" s="39" t="s">
        <v>19</v>
      </c>
      <c r="D436" s="32"/>
      <c r="E436" s="33"/>
      <c r="G436" s="81"/>
      <c r="H436" s="34"/>
      <c r="J436" s="1"/>
    </row>
    <row r="437" spans="1:10" ht="19.5">
      <c r="A437" s="39" t="s">
        <v>19</v>
      </c>
      <c r="D437" s="32"/>
      <c r="E437" s="33"/>
      <c r="G437" s="81"/>
      <c r="H437" s="34"/>
      <c r="J437" s="1"/>
    </row>
    <row r="438" spans="1:10" ht="19.5">
      <c r="A438" s="39" t="s">
        <v>19</v>
      </c>
      <c r="D438" s="32"/>
      <c r="E438" s="33"/>
      <c r="G438" s="81"/>
      <c r="H438" s="34"/>
      <c r="J438" s="1"/>
    </row>
    <row r="439" spans="1:10" ht="19.5">
      <c r="A439" s="39" t="s">
        <v>19</v>
      </c>
      <c r="D439" s="32"/>
      <c r="E439" s="33"/>
      <c r="G439" s="81"/>
      <c r="H439" s="34"/>
      <c r="J439" s="1"/>
    </row>
    <row r="440" spans="1:10" ht="19.5">
      <c r="A440" s="39" t="s">
        <v>19</v>
      </c>
      <c r="D440" s="32"/>
      <c r="E440" s="33"/>
      <c r="G440" s="81"/>
      <c r="H440" s="38"/>
      <c r="J440" s="1"/>
    </row>
    <row r="441" spans="1:10" ht="19.5">
      <c r="A441" s="39" t="s">
        <v>19</v>
      </c>
      <c r="D441" s="32"/>
      <c r="E441" s="33"/>
      <c r="G441" s="81"/>
      <c r="H441" s="34"/>
      <c r="J441" s="1"/>
    </row>
    <row r="442" spans="1:10" ht="19.5">
      <c r="A442" s="39" t="s">
        <v>19</v>
      </c>
      <c r="D442" s="32"/>
      <c r="E442" s="33"/>
      <c r="G442" s="81"/>
      <c r="H442" s="34"/>
      <c r="J442" s="1"/>
    </row>
    <row r="443" spans="1:10" ht="19.5">
      <c r="A443" s="39" t="s">
        <v>19</v>
      </c>
      <c r="D443" s="32"/>
      <c r="E443" s="33"/>
      <c r="G443" s="81"/>
      <c r="H443" s="34"/>
      <c r="J443" s="1"/>
    </row>
    <row r="444" spans="1:10" ht="19.5">
      <c r="A444" s="39" t="s">
        <v>19</v>
      </c>
      <c r="D444" s="32"/>
      <c r="E444" s="33"/>
      <c r="G444" s="81"/>
      <c r="H444" s="34"/>
      <c r="J444" s="1"/>
    </row>
    <row r="445" spans="1:10" ht="19.5">
      <c r="A445" s="39" t="s">
        <v>19</v>
      </c>
      <c r="D445" s="32"/>
      <c r="E445" s="33"/>
      <c r="G445" s="81"/>
      <c r="H445" s="34"/>
      <c r="J445" s="1"/>
    </row>
    <row r="446" spans="1:10" ht="19.5">
      <c r="A446" s="39" t="s">
        <v>19</v>
      </c>
      <c r="D446" s="32"/>
      <c r="E446" s="33"/>
      <c r="G446" s="81"/>
      <c r="H446" s="34"/>
      <c r="J446" s="1"/>
    </row>
    <row r="447" spans="1:10" ht="19.5">
      <c r="A447" s="39" t="s">
        <v>19</v>
      </c>
      <c r="D447" s="32"/>
      <c r="E447" s="33"/>
      <c r="G447" s="81"/>
      <c r="H447" s="34"/>
      <c r="J447" s="1"/>
    </row>
    <row r="448" spans="1:10" ht="19.5">
      <c r="A448" s="39" t="s">
        <v>19</v>
      </c>
      <c r="D448" s="32"/>
      <c r="E448" s="33"/>
      <c r="G448" s="81"/>
      <c r="H448" s="34"/>
      <c r="J448" s="1"/>
    </row>
    <row r="449" spans="1:10" ht="19.5">
      <c r="A449" s="39" t="s">
        <v>19</v>
      </c>
      <c r="D449" s="32"/>
      <c r="E449" s="33"/>
      <c r="G449" s="81"/>
      <c r="H449" s="34"/>
      <c r="J449" s="1"/>
    </row>
    <row r="450" spans="1:10" ht="19.5">
      <c r="A450" s="39" t="s">
        <v>19</v>
      </c>
      <c r="D450" s="32"/>
      <c r="E450" s="33"/>
      <c r="G450" s="81"/>
      <c r="H450" s="38"/>
      <c r="J450" s="1"/>
    </row>
    <row r="451" spans="1:10" ht="19.5">
      <c r="A451" s="39" t="s">
        <v>19</v>
      </c>
      <c r="D451" s="32"/>
      <c r="E451" s="33"/>
      <c r="G451" s="81"/>
      <c r="H451" s="34"/>
      <c r="J451" s="1"/>
    </row>
    <row r="452" spans="1:10" ht="19.5">
      <c r="A452" s="39" t="s">
        <v>19</v>
      </c>
      <c r="D452" s="32"/>
      <c r="E452" s="33"/>
      <c r="G452" s="81"/>
      <c r="H452" s="34"/>
      <c r="J452" s="1"/>
    </row>
    <row r="453" spans="1:10" ht="19.5">
      <c r="A453" s="39" t="s">
        <v>19</v>
      </c>
      <c r="D453" s="32"/>
      <c r="E453" s="33"/>
      <c r="G453" s="81"/>
      <c r="H453" s="34"/>
      <c r="J453" s="1"/>
    </row>
    <row r="454" spans="1:10" ht="19.5">
      <c r="A454" s="39" t="s">
        <v>19</v>
      </c>
      <c r="D454" s="32"/>
      <c r="E454" s="33"/>
      <c r="G454" s="81"/>
      <c r="H454" s="34"/>
      <c r="J454" s="1"/>
    </row>
    <row r="455" spans="1:10" ht="19.5">
      <c r="A455" s="39" t="s">
        <v>19</v>
      </c>
      <c r="D455" s="32"/>
      <c r="E455" s="33"/>
      <c r="G455" s="81"/>
      <c r="H455" s="34"/>
      <c r="J455" s="1"/>
    </row>
    <row r="456" spans="1:10" ht="19.5">
      <c r="A456" s="39" t="s">
        <v>19</v>
      </c>
      <c r="D456" s="32"/>
      <c r="E456" s="33"/>
      <c r="G456" s="81"/>
      <c r="H456" s="34"/>
      <c r="J456" s="1"/>
    </row>
    <row r="457" spans="1:10" ht="19.5">
      <c r="A457" s="39" t="s">
        <v>19</v>
      </c>
      <c r="D457" s="32"/>
      <c r="E457" s="33"/>
      <c r="G457" s="81"/>
      <c r="H457" s="34"/>
      <c r="J457" s="1"/>
    </row>
    <row r="458" spans="1:10" ht="19.5">
      <c r="A458" s="39" t="s">
        <v>19</v>
      </c>
      <c r="D458" s="32"/>
      <c r="E458" s="33"/>
      <c r="G458" s="81"/>
      <c r="H458" s="34"/>
      <c r="J458" s="1"/>
    </row>
    <row r="459" spans="1:10" ht="19.5">
      <c r="A459" s="39" t="s">
        <v>19</v>
      </c>
      <c r="D459" s="32"/>
      <c r="E459" s="33"/>
      <c r="G459" s="81"/>
      <c r="H459" s="34"/>
      <c r="J459" s="1"/>
    </row>
    <row r="460" spans="1:10" ht="19.5">
      <c r="A460" s="39" t="s">
        <v>19</v>
      </c>
      <c r="D460" s="32"/>
      <c r="E460" s="33"/>
      <c r="G460" s="81"/>
      <c r="H460" s="34"/>
      <c r="J460" s="1"/>
    </row>
    <row r="461" spans="1:10" ht="19.5">
      <c r="A461" s="39" t="s">
        <v>19</v>
      </c>
      <c r="D461" s="32"/>
      <c r="E461" s="33"/>
      <c r="G461" s="81"/>
      <c r="H461" s="34"/>
      <c r="J461" s="1"/>
    </row>
    <row r="462" spans="1:10" ht="19.5">
      <c r="A462" s="39" t="s">
        <v>19</v>
      </c>
      <c r="D462" s="36"/>
      <c r="E462" s="36"/>
      <c r="F462" s="33"/>
      <c r="G462" s="81"/>
      <c r="H462" s="36"/>
      <c r="J462" s="1"/>
    </row>
    <row r="463" spans="1:10" ht="19.5">
      <c r="A463" s="39" t="s">
        <v>19</v>
      </c>
      <c r="D463" s="32"/>
      <c r="H463" s="7"/>
      <c r="J463" s="1"/>
    </row>
    <row r="464" spans="1:10" ht="19.5">
      <c r="A464" s="39" t="s">
        <v>19</v>
      </c>
      <c r="D464" s="32"/>
      <c r="H464" s="7"/>
      <c r="J464" s="1"/>
    </row>
    <row r="465" spans="1:10" ht="19.5">
      <c r="A465" s="39" t="s">
        <v>19</v>
      </c>
      <c r="D465" s="32"/>
      <c r="H465" s="7"/>
      <c r="J465" s="1"/>
    </row>
    <row r="466" spans="1:10" ht="19.5">
      <c r="A466" s="39" t="s">
        <v>19</v>
      </c>
      <c r="D466" s="32"/>
      <c r="H466" s="7"/>
      <c r="J466" s="1"/>
    </row>
    <row r="467" spans="1:10" ht="19.5">
      <c r="A467" s="39" t="s">
        <v>19</v>
      </c>
      <c r="D467" s="32"/>
      <c r="H467" s="7"/>
      <c r="J467" s="1"/>
    </row>
    <row r="468" spans="1:10" ht="19.5">
      <c r="A468" s="39" t="s">
        <v>19</v>
      </c>
      <c r="D468" s="32"/>
      <c r="H468" s="7"/>
      <c r="J468" s="1"/>
    </row>
    <row r="469" spans="1:10" ht="19.5">
      <c r="A469" s="39" t="s">
        <v>19</v>
      </c>
      <c r="D469" s="32"/>
      <c r="H469" s="7"/>
      <c r="J469" s="1"/>
    </row>
    <row r="470" spans="1:10" ht="19.5">
      <c r="A470" s="39" t="s">
        <v>19</v>
      </c>
      <c r="D470" s="32"/>
      <c r="H470" s="7"/>
      <c r="J470" s="1"/>
    </row>
    <row r="471" spans="1:10" ht="19.5">
      <c r="A471" s="39" t="s">
        <v>19</v>
      </c>
      <c r="D471" s="32"/>
      <c r="H471" s="7"/>
      <c r="J471" s="1"/>
    </row>
    <row r="472" spans="1:10" ht="19.5">
      <c r="A472" s="39" t="s">
        <v>19</v>
      </c>
      <c r="D472" s="32"/>
      <c r="H472" s="7"/>
      <c r="J472" s="1"/>
    </row>
    <row r="473" spans="1:10" ht="15.75">
      <c r="A473" s="39" t="s">
        <v>19</v>
      </c>
      <c r="D473" s="1"/>
      <c r="H473" s="7"/>
      <c r="J473" s="9"/>
    </row>
    <row r="474" spans="1:10" ht="19.5">
      <c r="A474" s="39" t="s">
        <v>19</v>
      </c>
      <c r="D474" s="32"/>
      <c r="H474" s="7"/>
      <c r="J474" s="1"/>
    </row>
    <row r="475" spans="1:10" ht="19.5">
      <c r="A475" s="39" t="s">
        <v>19</v>
      </c>
      <c r="D475" s="32"/>
      <c r="H475" s="7"/>
      <c r="J475" s="1"/>
    </row>
    <row r="476" spans="1:10" ht="19.5">
      <c r="A476" t="s">
        <v>40</v>
      </c>
      <c r="D476" s="32"/>
      <c r="H476" s="7"/>
      <c r="J476" s="1"/>
    </row>
    <row r="477" spans="1:10" ht="19.5">
      <c r="A477" t="s">
        <v>40</v>
      </c>
      <c r="D477" s="32"/>
      <c r="H477" s="7"/>
      <c r="J477" s="1"/>
    </row>
    <row r="478" spans="1:10" ht="19.5">
      <c r="A478" t="s">
        <v>40</v>
      </c>
      <c r="D478" s="32"/>
      <c r="H478" s="7"/>
      <c r="J478" s="1"/>
    </row>
    <row r="479" spans="1:10" ht="19.5">
      <c r="A479" t="s">
        <v>40</v>
      </c>
      <c r="D479" s="32"/>
      <c r="H479" s="7"/>
      <c r="J479" s="1"/>
    </row>
    <row r="480" spans="1:10" ht="19.5">
      <c r="A480" t="s">
        <v>40</v>
      </c>
      <c r="D480" s="32"/>
      <c r="H480" s="7"/>
      <c r="J480" s="1"/>
    </row>
    <row r="481" spans="1:10" ht="19.5">
      <c r="A481" t="s">
        <v>40</v>
      </c>
      <c r="D481" s="32"/>
      <c r="H481" s="7"/>
      <c r="J481" s="1"/>
    </row>
    <row r="482" spans="1:10" ht="19.5">
      <c r="A482" t="s">
        <v>40</v>
      </c>
      <c r="D482" s="32"/>
      <c r="H482" s="7"/>
      <c r="J482" s="1"/>
    </row>
    <row r="483" spans="1:10" ht="19.5">
      <c r="A483" t="s">
        <v>40</v>
      </c>
      <c r="D483" s="32"/>
      <c r="H483" s="7"/>
      <c r="J483" s="1"/>
    </row>
    <row r="484" spans="1:10" ht="19.5">
      <c r="A484" t="s">
        <v>40</v>
      </c>
      <c r="D484" s="32"/>
      <c r="H484" s="7"/>
      <c r="J484" s="1"/>
    </row>
    <row r="485" spans="1:10" ht="19.5">
      <c r="A485" t="s">
        <v>40</v>
      </c>
      <c r="D485" s="32"/>
      <c r="H485" s="7"/>
      <c r="J485" s="1"/>
    </row>
    <row r="486" spans="1:10" ht="19.5">
      <c r="A486" t="s">
        <v>40</v>
      </c>
      <c r="D486" s="32"/>
      <c r="H486" s="7"/>
      <c r="J486" s="1"/>
    </row>
    <row r="487" spans="1:10" ht="19.5">
      <c r="A487" t="s">
        <v>40</v>
      </c>
      <c r="D487" s="32"/>
      <c r="H487" s="7"/>
      <c r="J487" s="1"/>
    </row>
    <row r="488" spans="1:10" ht="19.5">
      <c r="A488" t="s">
        <v>40</v>
      </c>
      <c r="D488" s="32"/>
      <c r="H488" s="7"/>
      <c r="J488" s="9"/>
    </row>
    <row r="489" spans="1:10" ht="19.5">
      <c r="A489" t="s">
        <v>40</v>
      </c>
      <c r="D489" s="32"/>
      <c r="H489" s="7"/>
      <c r="J489" s="9"/>
    </row>
    <row r="490" spans="1:10" ht="19.5">
      <c r="A490" t="s">
        <v>40</v>
      </c>
      <c r="D490" s="32"/>
      <c r="H490" s="7"/>
      <c r="J490" s="1"/>
    </row>
    <row r="491" spans="1:10" ht="19.5">
      <c r="A491" t="s">
        <v>40</v>
      </c>
      <c r="D491" s="32"/>
      <c r="H491" s="7"/>
      <c r="J491" s="1"/>
    </row>
    <row r="492" spans="1:10" ht="19.5">
      <c r="A492" t="s">
        <v>40</v>
      </c>
      <c r="D492" s="32"/>
      <c r="H492" s="7"/>
      <c r="J492" s="1"/>
    </row>
    <row r="493" spans="1:10" ht="19.5">
      <c r="A493" t="s">
        <v>40</v>
      </c>
      <c r="D493" s="32"/>
      <c r="H493" s="7"/>
      <c r="J493" s="1"/>
    </row>
    <row r="494" spans="1:10" ht="19.5">
      <c r="A494" t="s">
        <v>40</v>
      </c>
      <c r="D494" s="32"/>
      <c r="H494" s="7"/>
      <c r="J494" s="1"/>
    </row>
    <row r="495" spans="1:10" ht="19.5">
      <c r="A495" t="s">
        <v>40</v>
      </c>
      <c r="D495" s="32"/>
      <c r="H495" s="7"/>
      <c r="J495" s="1"/>
    </row>
    <row r="496" spans="1:10" ht="19.5">
      <c r="A496" t="s">
        <v>40</v>
      </c>
      <c r="D496" s="32"/>
      <c r="H496" s="7"/>
      <c r="J496" s="1"/>
    </row>
    <row r="497" spans="1:10" ht="19.5">
      <c r="A497" t="s">
        <v>40</v>
      </c>
      <c r="D497" s="32"/>
      <c r="H497" s="7"/>
      <c r="J497" s="1"/>
    </row>
    <row r="498" spans="1:10" ht="19.5">
      <c r="A498" t="s">
        <v>40</v>
      </c>
      <c r="D498" s="32"/>
      <c r="H498" s="7"/>
      <c r="J498" s="1"/>
    </row>
    <row r="499" spans="1:10" ht="19.5">
      <c r="A499" t="s">
        <v>40</v>
      </c>
      <c r="D499" s="32"/>
      <c r="H499" s="7"/>
      <c r="J499" s="1"/>
    </row>
    <row r="500" spans="1:10">
      <c r="A500" t="s">
        <v>40</v>
      </c>
      <c r="D500" s="1"/>
      <c r="H500" s="7"/>
      <c r="J500" s="1"/>
    </row>
    <row r="501" spans="1:10" ht="19.5">
      <c r="A501" t="s">
        <v>40</v>
      </c>
      <c r="D501" s="32"/>
      <c r="H501" s="7"/>
      <c r="J501" s="9"/>
    </row>
    <row r="502" spans="1:10" ht="19.5">
      <c r="A502" t="s">
        <v>40</v>
      </c>
      <c r="D502" s="32"/>
      <c r="H502" s="7"/>
      <c r="J502" s="9"/>
    </row>
    <row r="503" spans="1:10" ht="19.5">
      <c r="A503" t="s">
        <v>40</v>
      </c>
      <c r="D503" s="32"/>
      <c r="H503" s="7"/>
      <c r="J503" s="9"/>
    </row>
    <row r="504" spans="1:10" ht="19.5">
      <c r="A504" t="s">
        <v>40</v>
      </c>
      <c r="D504" s="32"/>
      <c r="H504" s="7"/>
      <c r="J504" s="9"/>
    </row>
    <row r="505" spans="1:10" ht="19.5">
      <c r="A505" t="s">
        <v>40</v>
      </c>
      <c r="D505" s="32"/>
      <c r="H505" s="7"/>
      <c r="J505" s="9"/>
    </row>
    <row r="506" spans="1:10" ht="19.5">
      <c r="A506" t="s">
        <v>40</v>
      </c>
      <c r="D506" s="32"/>
      <c r="H506" s="7"/>
      <c r="J506" s="9"/>
    </row>
    <row r="507" spans="1:10" ht="19.5">
      <c r="A507" t="s">
        <v>40</v>
      </c>
      <c r="D507" s="32"/>
      <c r="H507" s="7"/>
      <c r="J507" s="1"/>
    </row>
    <row r="508" spans="1:10" ht="19.5">
      <c r="A508" t="s">
        <v>40</v>
      </c>
      <c r="D508" s="32"/>
      <c r="H508" s="7"/>
      <c r="J508" s="1"/>
    </row>
    <row r="509" spans="1:10" ht="19.5">
      <c r="A509" t="s">
        <v>40</v>
      </c>
      <c r="D509" s="32"/>
      <c r="H509" s="7"/>
      <c r="J509" s="1"/>
    </row>
    <row r="510" spans="1:10">
      <c r="A510" t="s">
        <v>40</v>
      </c>
      <c r="D510" s="1"/>
      <c r="H510" s="7"/>
      <c r="J510" s="9"/>
    </row>
    <row r="511" spans="1:10" ht="19.5">
      <c r="A511" t="s">
        <v>40</v>
      </c>
      <c r="D511" s="32"/>
      <c r="H511" s="7"/>
      <c r="J511" s="9"/>
    </row>
    <row r="512" spans="1:10" ht="19.5">
      <c r="A512" t="s">
        <v>40</v>
      </c>
      <c r="D512" s="32"/>
      <c r="H512" s="7"/>
      <c r="J512" s="1"/>
    </row>
    <row r="513" spans="1:10" ht="19.5">
      <c r="A513" t="s">
        <v>40</v>
      </c>
      <c r="D513" s="32"/>
      <c r="H513" s="7"/>
      <c r="J513" s="1"/>
    </row>
    <row r="514" spans="1:10" ht="19.5">
      <c r="A514" t="s">
        <v>40</v>
      </c>
      <c r="D514" s="32"/>
      <c r="H514" s="7"/>
      <c r="J514" s="1"/>
    </row>
    <row r="515" spans="1:10" ht="19.5">
      <c r="A515" t="s">
        <v>40</v>
      </c>
      <c r="D515" s="32"/>
      <c r="H515" s="7"/>
      <c r="J515" s="9"/>
    </row>
    <row r="516" spans="1:10" ht="19.5">
      <c r="A516" t="s">
        <v>40</v>
      </c>
      <c r="D516" s="32"/>
      <c r="H516" s="7"/>
      <c r="J516" s="9"/>
    </row>
    <row r="517" spans="1:10">
      <c r="A517" t="s">
        <v>40</v>
      </c>
      <c r="D517" s="1"/>
      <c r="E517" s="16"/>
      <c r="F517" s="17"/>
      <c r="H517" s="27"/>
      <c r="J517" s="9"/>
    </row>
    <row r="518" spans="1:10" ht="19.5">
      <c r="A518" t="s">
        <v>40</v>
      </c>
      <c r="D518" s="32"/>
      <c r="H518" s="7"/>
      <c r="J518" s="9"/>
    </row>
    <row r="519" spans="1:10">
      <c r="A519" t="s">
        <v>40</v>
      </c>
      <c r="D519" s="1"/>
      <c r="H519" s="7"/>
      <c r="J519" s="1"/>
    </row>
    <row r="520" spans="1:10">
      <c r="A520" t="s">
        <v>40</v>
      </c>
      <c r="D520" s="1"/>
      <c r="H520" s="7"/>
      <c r="J520" s="1"/>
    </row>
    <row r="521" spans="1:10">
      <c r="A521" t="s">
        <v>40</v>
      </c>
      <c r="D521" s="1"/>
      <c r="H521" s="7"/>
      <c r="J521" s="1"/>
    </row>
    <row r="522" spans="1:10">
      <c r="A522" t="s">
        <v>40</v>
      </c>
      <c r="D522" s="1"/>
      <c r="H522" s="7"/>
      <c r="J522" s="1"/>
    </row>
    <row r="523" spans="1:10">
      <c r="A523" t="s">
        <v>40</v>
      </c>
      <c r="D523" s="1"/>
      <c r="H523" s="7"/>
      <c r="J523" s="9"/>
    </row>
    <row r="524" spans="1:10">
      <c r="A524" t="s">
        <v>40</v>
      </c>
      <c r="D524" s="1"/>
      <c r="H524" s="7"/>
      <c r="J524" s="1"/>
    </row>
    <row r="525" spans="1:10">
      <c r="A525" t="s">
        <v>40</v>
      </c>
      <c r="D525" s="1"/>
      <c r="H525" s="7"/>
      <c r="J525" s="1"/>
    </row>
    <row r="526" spans="1:10" ht="19.5">
      <c r="A526" t="s">
        <v>40</v>
      </c>
      <c r="D526" s="32"/>
      <c r="H526" s="7"/>
      <c r="J526" s="9"/>
    </row>
    <row r="527" spans="1:10" ht="19.5">
      <c r="A527" t="s">
        <v>40</v>
      </c>
      <c r="D527" s="32"/>
      <c r="H527" s="7"/>
      <c r="J527" s="9"/>
    </row>
    <row r="528" spans="1:10" ht="19.5">
      <c r="A528" t="s">
        <v>40</v>
      </c>
      <c r="D528" s="32"/>
      <c r="H528" s="7"/>
      <c r="J528" s="9"/>
    </row>
    <row r="529" spans="1:17">
      <c r="A529" t="s">
        <v>40</v>
      </c>
      <c r="D529" s="1"/>
      <c r="H529" s="7"/>
      <c r="J529" s="9"/>
    </row>
    <row r="530" spans="1:17">
      <c r="A530" s="40" t="s">
        <v>41</v>
      </c>
      <c r="D530" s="1"/>
      <c r="E530" s="16"/>
      <c r="H530" s="27"/>
      <c r="J530" s="1"/>
    </row>
    <row r="531" spans="1:17">
      <c r="A531" s="40" t="s">
        <v>41</v>
      </c>
      <c r="D531" s="1"/>
      <c r="E531" s="16"/>
      <c r="H531" s="27"/>
      <c r="J531" s="1"/>
    </row>
    <row r="532" spans="1:17">
      <c r="A532" s="40" t="s">
        <v>41</v>
      </c>
      <c r="D532" s="1"/>
      <c r="H532" s="7"/>
      <c r="J532" s="1"/>
      <c r="P532" s="24"/>
    </row>
    <row r="533" spans="1:17">
      <c r="A533" s="40" t="s">
        <v>41</v>
      </c>
      <c r="D533" s="1"/>
      <c r="E533" s="16"/>
      <c r="H533" s="27"/>
      <c r="J533" s="1"/>
      <c r="P533" s="24"/>
    </row>
    <row r="534" spans="1:17">
      <c r="A534" s="40" t="s">
        <v>41</v>
      </c>
      <c r="D534" s="1"/>
      <c r="H534" s="7"/>
      <c r="J534" s="1"/>
      <c r="L534" s="7"/>
      <c r="P534" s="24"/>
    </row>
    <row r="535" spans="1:17">
      <c r="A535" s="40" t="s">
        <v>41</v>
      </c>
      <c r="D535" s="1"/>
      <c r="H535" s="7"/>
      <c r="J535" s="1"/>
      <c r="L535" s="7"/>
      <c r="P535" s="24"/>
    </row>
    <row r="536" spans="1:17">
      <c r="A536" s="40" t="s">
        <v>41</v>
      </c>
      <c r="D536" s="1"/>
      <c r="E536" s="16"/>
      <c r="F536" s="17"/>
      <c r="H536" s="27"/>
      <c r="J536" s="1"/>
      <c r="L536" s="27"/>
      <c r="P536" s="24"/>
    </row>
    <row r="537" spans="1:17">
      <c r="A537" s="40" t="s">
        <v>41</v>
      </c>
      <c r="D537" s="1"/>
      <c r="E537" s="16"/>
      <c r="F537" s="17"/>
      <c r="H537" s="27"/>
      <c r="J537" s="1"/>
      <c r="L537" s="27"/>
    </row>
    <row r="538" spans="1:17">
      <c r="A538" s="40" t="s">
        <v>41</v>
      </c>
      <c r="D538" s="1"/>
      <c r="E538" s="16"/>
      <c r="H538" s="7"/>
      <c r="J538" s="1"/>
      <c r="L538" s="43"/>
    </row>
    <row r="539" spans="1:17">
      <c r="A539" s="40" t="s">
        <v>41</v>
      </c>
      <c r="D539" s="1"/>
      <c r="H539" s="7"/>
      <c r="J539" s="1"/>
      <c r="P539" s="24"/>
    </row>
    <row r="540" spans="1:17">
      <c r="A540" s="40" t="s">
        <v>41</v>
      </c>
      <c r="D540" s="1"/>
      <c r="H540" s="27"/>
      <c r="J540" s="1"/>
      <c r="Q540" s="6"/>
    </row>
    <row r="541" spans="1:17">
      <c r="A541" s="40" t="s">
        <v>41</v>
      </c>
      <c r="D541" s="1"/>
      <c r="E541" s="16"/>
      <c r="H541" s="27"/>
      <c r="J541" s="1"/>
      <c r="Q541" s="6"/>
    </row>
    <row r="542" spans="1:17">
      <c r="A542" s="40" t="s">
        <v>41</v>
      </c>
      <c r="D542" s="1"/>
      <c r="E542" s="16"/>
      <c r="H542" s="7"/>
      <c r="J542" s="9"/>
      <c r="P542" s="24"/>
    </row>
    <row r="543" spans="1:17">
      <c r="A543" s="40" t="s">
        <v>41</v>
      </c>
      <c r="D543" s="1"/>
      <c r="E543" s="16"/>
      <c r="H543" s="7"/>
      <c r="J543" s="9"/>
    </row>
    <row r="544" spans="1:17">
      <c r="A544" s="40" t="s">
        <v>41</v>
      </c>
      <c r="D544" s="1"/>
      <c r="E544" s="16"/>
      <c r="H544" s="7"/>
      <c r="J544" s="9"/>
    </row>
    <row r="545" spans="1:10">
      <c r="A545" s="40" t="s">
        <v>41</v>
      </c>
      <c r="D545" s="1"/>
      <c r="E545" s="16"/>
      <c r="H545" s="7"/>
      <c r="J545" s="9"/>
    </row>
    <row r="546" spans="1:10">
      <c r="A546" s="40" t="s">
        <v>41</v>
      </c>
      <c r="D546" s="1"/>
      <c r="E546" s="1"/>
      <c r="F546" s="1"/>
      <c r="G546" s="79"/>
      <c r="H546" s="7"/>
      <c r="I546" s="1"/>
      <c r="J546" s="1"/>
    </row>
    <row r="547" spans="1:10">
      <c r="A547" s="40" t="s">
        <v>41</v>
      </c>
      <c r="D547" s="1"/>
      <c r="E547" s="16"/>
      <c r="H547" s="7"/>
      <c r="J547" s="1"/>
    </row>
    <row r="548" spans="1:10">
      <c r="A548" s="40" t="s">
        <v>41</v>
      </c>
      <c r="D548" s="1"/>
      <c r="H548" s="7"/>
      <c r="J548" s="1"/>
    </row>
    <row r="549" spans="1:10">
      <c r="A549" s="40" t="s">
        <v>41</v>
      </c>
      <c r="D549" s="1"/>
      <c r="H549" s="7"/>
      <c r="J549" s="1"/>
    </row>
    <row r="550" spans="1:10">
      <c r="A550" s="40" t="s">
        <v>41</v>
      </c>
      <c r="D550" s="1"/>
      <c r="H550" s="7"/>
      <c r="J550" s="1"/>
    </row>
    <row r="551" spans="1:10">
      <c r="A551" s="40" t="s">
        <v>41</v>
      </c>
      <c r="D551" s="1"/>
      <c r="H551" s="7"/>
      <c r="J551" s="1"/>
    </row>
    <row r="552" spans="1:10">
      <c r="A552" s="40" t="s">
        <v>41</v>
      </c>
      <c r="D552" s="1"/>
      <c r="H552" s="7"/>
      <c r="J552" s="1"/>
    </row>
    <row r="553" spans="1:10">
      <c r="A553" s="40" t="s">
        <v>41</v>
      </c>
      <c r="D553" s="1"/>
      <c r="H553" s="7"/>
      <c r="J553" s="1"/>
    </row>
    <row r="554" spans="1:10">
      <c r="A554" s="40" t="s">
        <v>41</v>
      </c>
      <c r="D554" s="1"/>
      <c r="H554" s="7"/>
      <c r="J554" s="9"/>
    </row>
    <row r="555" spans="1:10">
      <c r="A555" s="40" t="s">
        <v>41</v>
      </c>
      <c r="D555" s="1"/>
      <c r="H555" s="7"/>
      <c r="J555" s="9"/>
    </row>
    <row r="556" spans="1:10">
      <c r="A556" s="40" t="s">
        <v>41</v>
      </c>
      <c r="D556" s="1"/>
      <c r="H556" s="7"/>
      <c r="J556" s="9"/>
    </row>
    <row r="557" spans="1:10">
      <c r="A557" s="40" t="s">
        <v>41</v>
      </c>
      <c r="D557" s="1"/>
      <c r="H557" s="7"/>
      <c r="J557" s="1"/>
    </row>
    <row r="558" spans="1:10">
      <c r="A558" s="40" t="s">
        <v>41</v>
      </c>
      <c r="D558" s="1"/>
      <c r="H558" s="7"/>
      <c r="J558" s="1"/>
    </row>
    <row r="559" spans="1:10">
      <c r="A559" s="40" t="s">
        <v>41</v>
      </c>
      <c r="D559" s="1"/>
      <c r="H559" s="7"/>
      <c r="J559" s="1"/>
    </row>
    <row r="560" spans="1:10">
      <c r="A560" s="40" t="s">
        <v>41</v>
      </c>
      <c r="D560" s="1"/>
      <c r="H560" s="7"/>
      <c r="J560" s="1"/>
    </row>
    <row r="561" spans="1:10">
      <c r="A561" s="40" t="s">
        <v>42</v>
      </c>
      <c r="D561" s="1"/>
      <c r="H561" s="7"/>
      <c r="J561" s="9"/>
    </row>
    <row r="562" spans="1:10">
      <c r="A562" s="40" t="s">
        <v>42</v>
      </c>
      <c r="D562" s="1"/>
      <c r="H562" s="7"/>
      <c r="J562" s="1"/>
    </row>
    <row r="563" spans="1:10">
      <c r="A563" s="40" t="s">
        <v>42</v>
      </c>
      <c r="D563" s="1"/>
      <c r="H563" s="7"/>
      <c r="J563" s="1"/>
    </row>
    <row r="564" spans="1:10">
      <c r="A564" s="40" t="s">
        <v>42</v>
      </c>
      <c r="D564" s="1"/>
      <c r="H564" s="7"/>
      <c r="J564" s="1"/>
    </row>
    <row r="565" spans="1:10">
      <c r="A565" s="40" t="s">
        <v>42</v>
      </c>
      <c r="D565" s="1"/>
      <c r="H565" s="7"/>
      <c r="J565" s="1"/>
    </row>
    <row r="566" spans="1:10">
      <c r="A566" s="40" t="s">
        <v>42</v>
      </c>
      <c r="D566" s="1"/>
      <c r="H566" s="7"/>
      <c r="J566" s="1"/>
    </row>
    <row r="567" spans="1:10">
      <c r="A567" s="40" t="s">
        <v>42</v>
      </c>
      <c r="D567" s="1"/>
      <c r="H567" s="7"/>
      <c r="J567" s="1"/>
    </row>
    <row r="568" spans="1:10">
      <c r="A568" s="40" t="s">
        <v>42</v>
      </c>
      <c r="D568" s="1"/>
      <c r="H568" s="7"/>
      <c r="J568" s="1"/>
    </row>
    <row r="569" spans="1:10">
      <c r="A569" s="40" t="s">
        <v>42</v>
      </c>
      <c r="D569" s="1"/>
      <c r="H569" s="7"/>
      <c r="J569" s="1"/>
    </row>
    <row r="570" spans="1:10">
      <c r="A570" s="40" t="s">
        <v>42</v>
      </c>
      <c r="D570" s="1"/>
      <c r="H570" s="7"/>
      <c r="J570" s="1"/>
    </row>
    <row r="571" spans="1:10">
      <c r="A571" s="40" t="s">
        <v>42</v>
      </c>
      <c r="D571" s="1"/>
      <c r="H571" s="7"/>
      <c r="J571" s="1"/>
    </row>
    <row r="572" spans="1:10">
      <c r="A572" s="40" t="s">
        <v>42</v>
      </c>
      <c r="D572" s="1"/>
      <c r="H572" s="7"/>
      <c r="J572" s="1"/>
    </row>
    <row r="573" spans="1:10">
      <c r="A573" s="40" t="s">
        <v>42</v>
      </c>
      <c r="D573" s="1"/>
      <c r="H573" s="7"/>
      <c r="J573" s="1"/>
    </row>
    <row r="574" spans="1:10">
      <c r="A574" s="40" t="s">
        <v>42</v>
      </c>
      <c r="D574" s="1"/>
      <c r="H574" s="7"/>
      <c r="J574" s="1"/>
    </row>
    <row r="575" spans="1:10" ht="19.5">
      <c r="A575" s="40" t="s">
        <v>41</v>
      </c>
      <c r="D575" s="32"/>
      <c r="H575" s="7"/>
      <c r="J575" s="9"/>
    </row>
    <row r="576" spans="1:10">
      <c r="A576" s="41" t="s">
        <v>43</v>
      </c>
      <c r="D576" s="1"/>
      <c r="H576" s="7"/>
      <c r="J576" s="9"/>
    </row>
    <row r="577" spans="1:10">
      <c r="A577" s="41" t="s">
        <v>43</v>
      </c>
      <c r="D577" s="1"/>
      <c r="H577" s="7"/>
      <c r="J577" s="1"/>
    </row>
    <row r="578" spans="1:10">
      <c r="A578" s="41" t="s">
        <v>43</v>
      </c>
      <c r="D578" s="1"/>
      <c r="H578" s="7"/>
      <c r="J578" s="1"/>
    </row>
    <row r="579" spans="1:10">
      <c r="A579" s="41" t="s">
        <v>43</v>
      </c>
      <c r="D579" s="1"/>
      <c r="H579" s="7"/>
      <c r="J579" s="1"/>
    </row>
    <row r="580" spans="1:10">
      <c r="A580" s="41" t="s">
        <v>44</v>
      </c>
      <c r="D580" s="1"/>
      <c r="H580" s="42"/>
      <c r="J580" s="1"/>
    </row>
    <row r="581" spans="1:10">
      <c r="A581" s="41" t="s">
        <v>44</v>
      </c>
      <c r="D581" s="1"/>
      <c r="H581" s="7"/>
      <c r="J581" s="1"/>
    </row>
    <row r="582" spans="1:10">
      <c r="A582" s="41" t="s">
        <v>44</v>
      </c>
      <c r="D582" s="1"/>
      <c r="H582" s="7"/>
      <c r="J582" s="1"/>
    </row>
    <row r="583" spans="1:10">
      <c r="A583" s="41" t="s">
        <v>44</v>
      </c>
      <c r="H583" s="7"/>
      <c r="J583" s="1"/>
    </row>
    <row r="584" spans="1:10">
      <c r="A584" s="41" t="s">
        <v>44</v>
      </c>
      <c r="H584" s="7"/>
      <c r="J584" s="1"/>
    </row>
    <row r="585" spans="1:10">
      <c r="A585" s="41" t="s">
        <v>44</v>
      </c>
      <c r="H585" s="7"/>
      <c r="J585" s="1"/>
    </row>
    <row r="586" spans="1:10">
      <c r="A586" s="41" t="s">
        <v>44</v>
      </c>
      <c r="H586" s="7"/>
      <c r="J586" s="1"/>
    </row>
    <row r="587" spans="1:10">
      <c r="A587" s="41" t="s">
        <v>44</v>
      </c>
      <c r="H587" s="7"/>
      <c r="J587" s="1"/>
    </row>
    <row r="588" spans="1:10">
      <c r="A588" s="41" t="s">
        <v>44</v>
      </c>
      <c r="H588" s="7"/>
      <c r="J588" s="1"/>
    </row>
    <row r="589" spans="1:10">
      <c r="A589" s="41" t="s">
        <v>44</v>
      </c>
      <c r="H589" s="7"/>
      <c r="J589" s="1"/>
    </row>
    <row r="590" spans="1:10">
      <c r="A590" s="41" t="s">
        <v>44</v>
      </c>
      <c r="H590" s="7"/>
      <c r="J590" s="1"/>
    </row>
    <row r="591" spans="1:10">
      <c r="A591" s="41" t="s">
        <v>44</v>
      </c>
      <c r="H591" s="7"/>
      <c r="J591" s="1"/>
    </row>
    <row r="592" spans="1:10">
      <c r="A592" s="41" t="s">
        <v>44</v>
      </c>
      <c r="H592" s="7"/>
      <c r="J592" s="1"/>
    </row>
    <row r="593" spans="1:10">
      <c r="A593" s="41" t="s">
        <v>44</v>
      </c>
      <c r="H593" s="7"/>
      <c r="J593" s="1"/>
    </row>
    <row r="594" spans="1:10">
      <c r="A594" s="41" t="s">
        <v>44</v>
      </c>
      <c r="H594" s="7"/>
      <c r="J594" s="1"/>
    </row>
    <row r="595" spans="1:10">
      <c r="A595" s="41" t="s">
        <v>44</v>
      </c>
      <c r="H595" s="7"/>
      <c r="J595" s="1"/>
    </row>
    <row r="596" spans="1:10">
      <c r="A596" s="41" t="s">
        <v>44</v>
      </c>
      <c r="H596" s="7"/>
      <c r="J596" s="1"/>
    </row>
    <row r="597" spans="1:10">
      <c r="A597" s="41" t="s">
        <v>44</v>
      </c>
      <c r="H597" s="7"/>
      <c r="J597" s="1"/>
    </row>
    <row r="598" spans="1:10">
      <c r="A598" s="41" t="s">
        <v>44</v>
      </c>
      <c r="H598" s="7"/>
      <c r="J598" s="1"/>
    </row>
    <row r="599" spans="1:10">
      <c r="A599" s="41" t="s">
        <v>44</v>
      </c>
      <c r="H599" s="7"/>
      <c r="J599" s="1"/>
    </row>
    <row r="600" spans="1:10">
      <c r="A600" s="41" t="s">
        <v>44</v>
      </c>
      <c r="H600" s="7"/>
      <c r="J600" s="1"/>
    </row>
    <row r="601" spans="1:10">
      <c r="A601" s="41" t="s">
        <v>44</v>
      </c>
      <c r="H601" s="7"/>
      <c r="J601" s="1"/>
    </row>
    <row r="602" spans="1:10">
      <c r="A602" s="41" t="s">
        <v>44</v>
      </c>
      <c r="H602" s="7"/>
      <c r="J602" s="1"/>
    </row>
    <row r="603" spans="1:10">
      <c r="A603" s="41" t="s">
        <v>44</v>
      </c>
      <c r="H603" s="7"/>
      <c r="J603" s="1"/>
    </row>
    <row r="604" spans="1:10">
      <c r="A604" s="41" t="s">
        <v>44</v>
      </c>
      <c r="H604" s="7"/>
      <c r="J604" s="1"/>
    </row>
    <row r="605" spans="1:10">
      <c r="A605" s="41" t="s">
        <v>44</v>
      </c>
      <c r="H605" s="7"/>
      <c r="J605" s="1"/>
    </row>
    <row r="606" spans="1:10">
      <c r="A606" s="41" t="s">
        <v>44</v>
      </c>
      <c r="H606" s="7"/>
      <c r="J606" s="1"/>
    </row>
    <row r="607" spans="1:10">
      <c r="A607" s="41" t="s">
        <v>44</v>
      </c>
      <c r="H607" s="7"/>
      <c r="J607" s="1"/>
    </row>
    <row r="608" spans="1:10">
      <c r="A608" s="41" t="s">
        <v>44</v>
      </c>
      <c r="H608" s="7"/>
      <c r="J608" s="1"/>
    </row>
    <row r="609" spans="1:10">
      <c r="A609" s="41" t="s">
        <v>44</v>
      </c>
      <c r="H609" s="7"/>
      <c r="J609" s="1"/>
    </row>
    <row r="610" spans="1:10">
      <c r="A610" s="41" t="s">
        <v>44</v>
      </c>
      <c r="H610" s="7"/>
      <c r="J610" s="1"/>
    </row>
    <row r="611" spans="1:10">
      <c r="A611" s="41" t="s">
        <v>44</v>
      </c>
      <c r="H611" s="7"/>
      <c r="J611" s="1"/>
    </row>
    <row r="612" spans="1:10">
      <c r="A612" s="41" t="s">
        <v>44</v>
      </c>
      <c r="H612" s="7"/>
      <c r="J612" s="1"/>
    </row>
    <row r="613" spans="1:10">
      <c r="A613" s="41" t="s">
        <v>44</v>
      </c>
      <c r="H613" s="7"/>
      <c r="J613" s="1"/>
    </row>
    <row r="614" spans="1:10">
      <c r="A614" s="41" t="s">
        <v>44</v>
      </c>
      <c r="H614" s="7"/>
      <c r="J614" s="1"/>
    </row>
    <row r="615" spans="1:10">
      <c r="A615" s="41" t="s">
        <v>44</v>
      </c>
      <c r="H615" s="7"/>
      <c r="J615" s="1"/>
    </row>
    <row r="616" spans="1:10">
      <c r="A616" s="41" t="s">
        <v>44</v>
      </c>
      <c r="H616" s="7"/>
      <c r="J616" s="1"/>
    </row>
    <row r="617" spans="1:10">
      <c r="A617" s="41" t="s">
        <v>44</v>
      </c>
      <c r="H617" s="7"/>
      <c r="J617" s="1"/>
    </row>
    <row r="618" spans="1:10">
      <c r="A618" s="41" t="s">
        <v>44</v>
      </c>
      <c r="H618" s="7"/>
      <c r="J618" s="1"/>
    </row>
    <row r="619" spans="1:10">
      <c r="A619" s="41" t="s">
        <v>44</v>
      </c>
      <c r="H619" s="7"/>
      <c r="J619" s="1"/>
    </row>
    <row r="620" spans="1:10">
      <c r="A620" s="41" t="s">
        <v>44</v>
      </c>
      <c r="H620" s="7"/>
      <c r="J620" s="1"/>
    </row>
    <row r="621" spans="1:10">
      <c r="A621" s="41" t="s">
        <v>44</v>
      </c>
      <c r="H621" s="7"/>
      <c r="J621" s="1"/>
    </row>
    <row r="622" spans="1:10">
      <c r="A622" s="41" t="s">
        <v>44</v>
      </c>
      <c r="H622" s="7"/>
      <c r="J622" s="1"/>
    </row>
    <row r="623" spans="1:10">
      <c r="A623" s="41" t="s">
        <v>44</v>
      </c>
      <c r="H623" s="7"/>
      <c r="J623" s="1"/>
    </row>
    <row r="624" spans="1:10">
      <c r="A624" s="41" t="s">
        <v>44</v>
      </c>
      <c r="H624" s="7"/>
      <c r="J624" s="1"/>
    </row>
    <row r="625" spans="1:10">
      <c r="A625" s="41" t="s">
        <v>44</v>
      </c>
      <c r="H625" s="7"/>
      <c r="J625" s="1"/>
    </row>
    <row r="626" spans="1:10">
      <c r="A626" s="41" t="s">
        <v>44</v>
      </c>
      <c r="H626" s="7"/>
      <c r="J626" s="1"/>
    </row>
    <row r="627" spans="1:10">
      <c r="A627" s="41" t="s">
        <v>44</v>
      </c>
      <c r="H627" s="7"/>
      <c r="J627" s="1"/>
    </row>
    <row r="628" spans="1:10">
      <c r="A628" s="41" t="s">
        <v>44</v>
      </c>
      <c r="H628" s="7"/>
      <c r="J628" s="1"/>
    </row>
    <row r="629" spans="1:10">
      <c r="A629" s="41" t="s">
        <v>44</v>
      </c>
      <c r="H629" s="7"/>
      <c r="J629" s="1"/>
    </row>
    <row r="630" spans="1:10">
      <c r="A630" s="41" t="s">
        <v>44</v>
      </c>
      <c r="H630" s="7"/>
      <c r="J630" s="1"/>
    </row>
    <row r="631" spans="1:10">
      <c r="A631" s="41" t="s">
        <v>44</v>
      </c>
      <c r="H631" s="7"/>
      <c r="J631" s="1"/>
    </row>
    <row r="632" spans="1:10">
      <c r="A632" s="41" t="s">
        <v>44</v>
      </c>
      <c r="H632" s="7"/>
      <c r="J632" s="1"/>
    </row>
    <row r="633" spans="1:10">
      <c r="A633" s="41" t="s">
        <v>44</v>
      </c>
      <c r="H633" s="7"/>
      <c r="J633" s="1"/>
    </row>
    <row r="634" spans="1:10">
      <c r="A634" s="41" t="s">
        <v>44</v>
      </c>
      <c r="H634" s="7"/>
      <c r="J634" s="1"/>
    </row>
    <row r="635" spans="1:10">
      <c r="A635" s="41" t="s">
        <v>44</v>
      </c>
      <c r="H635" s="7"/>
      <c r="J635" s="1"/>
    </row>
    <row r="636" spans="1:10">
      <c r="A636" s="41" t="s">
        <v>44</v>
      </c>
      <c r="H636" s="7"/>
      <c r="J636" s="1"/>
    </row>
    <row r="637" spans="1:10">
      <c r="A637" s="41" t="s">
        <v>44</v>
      </c>
      <c r="H637" s="7"/>
      <c r="J637" s="1"/>
    </row>
    <row r="638" spans="1:10">
      <c r="A638" s="41" t="s">
        <v>44</v>
      </c>
      <c r="H638" s="7"/>
      <c r="J638" s="1"/>
    </row>
    <row r="639" spans="1:10">
      <c r="A639" s="41" t="s">
        <v>44</v>
      </c>
      <c r="H639" s="7"/>
      <c r="J639" s="1"/>
    </row>
    <row r="640" spans="1:10">
      <c r="A640" s="41" t="s">
        <v>44</v>
      </c>
      <c r="H640" s="7"/>
      <c r="J640" s="1"/>
    </row>
    <row r="641" spans="1:10">
      <c r="A641" s="41" t="s">
        <v>44</v>
      </c>
      <c r="H641" s="7"/>
      <c r="J641" s="1"/>
    </row>
    <row r="642" spans="1:10">
      <c r="A642" s="41" t="s">
        <v>44</v>
      </c>
      <c r="H642" s="7"/>
      <c r="J642" s="1"/>
    </row>
    <row r="643" spans="1:10">
      <c r="A643" s="41" t="s">
        <v>44</v>
      </c>
      <c r="H643" s="7"/>
      <c r="J643" s="1"/>
    </row>
    <row r="644" spans="1:10">
      <c r="A644" s="41" t="s">
        <v>44</v>
      </c>
      <c r="H644" s="7"/>
      <c r="J644" s="1"/>
    </row>
    <row r="645" spans="1:10">
      <c r="A645" s="41" t="s">
        <v>44</v>
      </c>
      <c r="H645" s="7"/>
      <c r="J645" s="1"/>
    </row>
    <row r="646" spans="1:10">
      <c r="A646" s="41" t="s">
        <v>44</v>
      </c>
      <c r="H646" s="7"/>
      <c r="J646" s="1"/>
    </row>
    <row r="647" spans="1:10">
      <c r="A647" s="41" t="s">
        <v>44</v>
      </c>
      <c r="H647" s="7"/>
      <c r="J647" s="1"/>
    </row>
    <row r="648" spans="1:10">
      <c r="A648" s="41" t="s">
        <v>44</v>
      </c>
      <c r="H648" s="7"/>
      <c r="J648" s="1"/>
    </row>
    <row r="649" spans="1:10">
      <c r="A649" s="41" t="s">
        <v>44</v>
      </c>
      <c r="H649" s="7"/>
      <c r="J649" s="1"/>
    </row>
    <row r="650" spans="1:10">
      <c r="A650" s="41" t="s">
        <v>44</v>
      </c>
      <c r="H650" s="7"/>
      <c r="J650" s="1"/>
    </row>
    <row r="651" spans="1:10">
      <c r="A651" s="41" t="s">
        <v>44</v>
      </c>
      <c r="H651" s="7"/>
      <c r="J651" s="1"/>
    </row>
    <row r="652" spans="1:10">
      <c r="A652" s="41" t="s">
        <v>44</v>
      </c>
      <c r="H652" s="7"/>
      <c r="J652" s="1"/>
    </row>
    <row r="653" spans="1:10">
      <c r="A653" s="41" t="s">
        <v>44</v>
      </c>
      <c r="H653" s="7"/>
      <c r="J653" s="1"/>
    </row>
    <row r="654" spans="1:10">
      <c r="A654" s="41" t="s">
        <v>44</v>
      </c>
      <c r="H654" s="7"/>
      <c r="J654" s="1"/>
    </row>
    <row r="655" spans="1:10">
      <c r="A655" s="41" t="s">
        <v>44</v>
      </c>
      <c r="H655" s="7"/>
      <c r="J655" s="1"/>
    </row>
    <row r="656" spans="1:10">
      <c r="A656" s="41" t="s">
        <v>44</v>
      </c>
      <c r="H656" s="7"/>
      <c r="J656" s="1"/>
    </row>
    <row r="657" spans="1:10">
      <c r="A657" s="41" t="s">
        <v>44</v>
      </c>
      <c r="H657" s="7"/>
      <c r="J657" s="1"/>
    </row>
    <row r="658" spans="1:10">
      <c r="A658" s="41" t="s">
        <v>44</v>
      </c>
      <c r="H658" s="7"/>
      <c r="J658" s="1"/>
    </row>
    <row r="659" spans="1:10">
      <c r="A659" s="41" t="s">
        <v>44</v>
      </c>
      <c r="H659" s="7"/>
      <c r="J659" s="1"/>
    </row>
    <row r="660" spans="1:10">
      <c r="A660" s="41" t="s">
        <v>44</v>
      </c>
      <c r="H660" s="7"/>
      <c r="J660" s="1"/>
    </row>
    <row r="661" spans="1:10">
      <c r="A661" s="41" t="s">
        <v>44</v>
      </c>
      <c r="H661" s="7"/>
      <c r="J661" s="1"/>
    </row>
    <row r="662" spans="1:10">
      <c r="A662" s="41" t="s">
        <v>44</v>
      </c>
      <c r="H662" s="7"/>
      <c r="J662" s="1"/>
    </row>
    <row r="663" spans="1:10">
      <c r="A663" s="41" t="s">
        <v>44</v>
      </c>
      <c r="H663" s="7"/>
      <c r="J663" s="1"/>
    </row>
    <row r="664" spans="1:10">
      <c r="A664" s="41" t="s">
        <v>44</v>
      </c>
      <c r="H664" s="7"/>
      <c r="J664" s="1"/>
    </row>
    <row r="665" spans="1:10">
      <c r="A665" s="41" t="s">
        <v>44</v>
      </c>
      <c r="H665" s="7"/>
      <c r="J665" s="1"/>
    </row>
    <row r="666" spans="1:10">
      <c r="A666" s="41" t="s">
        <v>44</v>
      </c>
      <c r="H666" s="7"/>
      <c r="J666" s="1"/>
    </row>
    <row r="667" spans="1:10">
      <c r="A667" s="41" t="s">
        <v>44</v>
      </c>
      <c r="H667" s="7"/>
      <c r="J667" s="1"/>
    </row>
    <row r="668" spans="1:10">
      <c r="A668" s="41" t="s">
        <v>44</v>
      </c>
      <c r="H668" s="7"/>
      <c r="J668" s="1"/>
    </row>
    <row r="669" spans="1:10">
      <c r="A669" s="41" t="s">
        <v>44</v>
      </c>
      <c r="H669" s="7"/>
      <c r="J669" s="1"/>
    </row>
    <row r="670" spans="1:10">
      <c r="A670" s="41" t="s">
        <v>44</v>
      </c>
      <c r="H670" s="7"/>
      <c r="J670" s="1"/>
    </row>
    <row r="671" spans="1:10">
      <c r="A671" s="41" t="s">
        <v>44</v>
      </c>
      <c r="H671" s="7"/>
      <c r="J671" s="1"/>
    </row>
    <row r="672" spans="1:10">
      <c r="A672" s="41" t="s">
        <v>44</v>
      </c>
      <c r="H672" s="7"/>
      <c r="J672" s="1"/>
    </row>
    <row r="673" spans="1:10">
      <c r="A673" s="41" t="s">
        <v>44</v>
      </c>
      <c r="H673" s="7"/>
      <c r="J673" s="1"/>
    </row>
    <row r="674" spans="1:10">
      <c r="A674" s="41" t="s">
        <v>44</v>
      </c>
      <c r="H674" s="7"/>
      <c r="J674" s="1"/>
    </row>
    <row r="675" spans="1:10">
      <c r="A675" s="41" t="s">
        <v>44</v>
      </c>
      <c r="H675" s="7"/>
      <c r="J675" s="1"/>
    </row>
    <row r="676" spans="1:10">
      <c r="A676" s="41" t="s">
        <v>44</v>
      </c>
      <c r="H676" s="7"/>
      <c r="J676" s="1"/>
    </row>
    <row r="677" spans="1:10">
      <c r="A677" s="41" t="s">
        <v>44</v>
      </c>
      <c r="H677" s="7"/>
      <c r="J677" s="1"/>
    </row>
    <row r="678" spans="1:10">
      <c r="A678" s="41" t="s">
        <v>44</v>
      </c>
      <c r="H678" s="7"/>
      <c r="J678" s="1"/>
    </row>
    <row r="679" spans="1:10">
      <c r="A679" s="41" t="s">
        <v>44</v>
      </c>
      <c r="H679" s="7"/>
      <c r="J679" s="1"/>
    </row>
    <row r="680" spans="1:10">
      <c r="A680" s="41" t="s">
        <v>44</v>
      </c>
      <c r="H680" s="7"/>
      <c r="J680" s="1"/>
    </row>
    <row r="681" spans="1:10">
      <c r="A681" s="41" t="s">
        <v>44</v>
      </c>
      <c r="H681" s="7"/>
      <c r="J681" s="1"/>
    </row>
    <row r="682" spans="1:10">
      <c r="A682" s="41" t="s">
        <v>44</v>
      </c>
      <c r="H682" s="7"/>
      <c r="J682" s="1"/>
    </row>
    <row r="683" spans="1:10">
      <c r="A683" s="41" t="s">
        <v>44</v>
      </c>
      <c r="H683" s="7"/>
      <c r="J683" s="1"/>
    </row>
    <row r="684" spans="1:10">
      <c r="A684" s="41" t="s">
        <v>44</v>
      </c>
      <c r="H684" s="7"/>
      <c r="J684" s="1"/>
    </row>
    <row r="685" spans="1:10">
      <c r="A685" s="41" t="s">
        <v>44</v>
      </c>
      <c r="H685" s="7"/>
      <c r="J685" s="1"/>
    </row>
    <row r="686" spans="1:10">
      <c r="A686" s="41" t="s">
        <v>44</v>
      </c>
      <c r="H686" s="7"/>
      <c r="J686" s="1"/>
    </row>
    <row r="687" spans="1:10">
      <c r="A687" s="41" t="s">
        <v>44</v>
      </c>
      <c r="H687" s="7"/>
      <c r="J687" s="1"/>
    </row>
    <row r="688" spans="1:10">
      <c r="A688" s="41" t="s">
        <v>44</v>
      </c>
      <c r="C688" s="10"/>
      <c r="H688" s="7"/>
      <c r="J688" s="1"/>
    </row>
    <row r="689" spans="1:10">
      <c r="A689" s="41" t="s">
        <v>44</v>
      </c>
      <c r="C689" s="10"/>
      <c r="H689" s="7"/>
      <c r="J689" s="1"/>
    </row>
    <row r="690" spans="1:10">
      <c r="A690" s="41" t="s">
        <v>44</v>
      </c>
      <c r="C690" s="10"/>
      <c r="H690" s="7"/>
      <c r="J690" s="1"/>
    </row>
    <row r="691" spans="1:10">
      <c r="A691" s="41" t="s">
        <v>44</v>
      </c>
      <c r="C691" s="10"/>
      <c r="H691" s="7"/>
      <c r="J691" s="1"/>
    </row>
    <row r="692" spans="1:10">
      <c r="A692" s="41" t="s">
        <v>44</v>
      </c>
      <c r="C692" s="10"/>
      <c r="H692" s="7"/>
      <c r="J692" s="1"/>
    </row>
    <row r="693" spans="1:10">
      <c r="A693" s="41" t="s">
        <v>44</v>
      </c>
      <c r="C693" s="10"/>
      <c r="H693" s="7"/>
      <c r="J693" s="1"/>
    </row>
    <row r="694" spans="1:10">
      <c r="A694" s="41" t="s">
        <v>44</v>
      </c>
      <c r="C694" s="10"/>
      <c r="H694" s="7"/>
      <c r="J694" s="1"/>
    </row>
    <row r="695" spans="1:10">
      <c r="A695" s="41" t="s">
        <v>44</v>
      </c>
      <c r="C695" s="10"/>
      <c r="H695" s="7"/>
      <c r="J695" s="1"/>
    </row>
    <row r="696" spans="1:10">
      <c r="A696" s="41" t="s">
        <v>44</v>
      </c>
      <c r="C696" s="10"/>
      <c r="H696" s="7"/>
      <c r="J696" s="1"/>
    </row>
    <row r="697" spans="1:10">
      <c r="A697" s="41" t="s">
        <v>44</v>
      </c>
      <c r="C697" s="10"/>
      <c r="H697" s="7"/>
      <c r="J697" s="1"/>
    </row>
    <row r="698" spans="1:10">
      <c r="A698" s="41" t="s">
        <v>44</v>
      </c>
      <c r="C698" s="10"/>
      <c r="H698" s="7"/>
      <c r="J698" s="1"/>
    </row>
    <row r="699" spans="1:10">
      <c r="A699" s="41" t="s">
        <v>44</v>
      </c>
      <c r="C699" s="10"/>
      <c r="H699" s="7"/>
      <c r="J699" s="1"/>
    </row>
    <row r="700" spans="1:10">
      <c r="A700" s="41" t="s">
        <v>44</v>
      </c>
      <c r="C700" s="10"/>
      <c r="H700" s="7"/>
      <c r="J700" s="1"/>
    </row>
    <row r="701" spans="1:10">
      <c r="A701" s="41" t="s">
        <v>44</v>
      </c>
      <c r="C701" s="10"/>
      <c r="H701" s="7"/>
      <c r="J701" s="1"/>
    </row>
    <row r="702" spans="1:10">
      <c r="A702" s="41" t="s">
        <v>44</v>
      </c>
      <c r="C702" s="10"/>
      <c r="H702" s="7"/>
      <c r="J702" s="1"/>
    </row>
    <row r="703" spans="1:10">
      <c r="A703" s="41" t="s">
        <v>44</v>
      </c>
      <c r="C703" s="10"/>
      <c r="H703" s="7"/>
      <c r="J703" s="1"/>
    </row>
    <row r="704" spans="1:10">
      <c r="A704" s="41" t="s">
        <v>44</v>
      </c>
      <c r="C704" s="10"/>
      <c r="H704" s="7"/>
      <c r="J704" s="1"/>
    </row>
    <row r="705" spans="1:10">
      <c r="A705" s="41" t="s">
        <v>44</v>
      </c>
      <c r="C705" s="10"/>
      <c r="H705" s="7"/>
      <c r="J705" s="1"/>
    </row>
    <row r="706" spans="1:10">
      <c r="A706" s="41" t="s">
        <v>44</v>
      </c>
      <c r="C706" s="10"/>
      <c r="H706" s="7"/>
      <c r="J706" s="1"/>
    </row>
    <row r="707" spans="1:10">
      <c r="A707" s="41" t="s">
        <v>44</v>
      </c>
      <c r="C707" s="10"/>
      <c r="H707" s="7"/>
      <c r="J707" s="1"/>
    </row>
    <row r="708" spans="1:10">
      <c r="A708" s="41" t="s">
        <v>44</v>
      </c>
      <c r="C708" s="10"/>
      <c r="H708" s="7"/>
      <c r="J708" s="1"/>
    </row>
    <row r="709" spans="1:10">
      <c r="A709" s="41" t="s">
        <v>44</v>
      </c>
      <c r="C709" s="10"/>
      <c r="H709" s="7"/>
      <c r="J709" s="1"/>
    </row>
    <row r="710" spans="1:10">
      <c r="A710" s="41" t="s">
        <v>44</v>
      </c>
      <c r="C710" s="10"/>
      <c r="H710" s="7"/>
      <c r="J710" s="1"/>
    </row>
    <row r="711" spans="1:10">
      <c r="A711" s="41" t="s">
        <v>44</v>
      </c>
      <c r="C711" s="10"/>
      <c r="H711" s="7"/>
      <c r="J711" s="1"/>
    </row>
    <row r="712" spans="1:10">
      <c r="A712" s="41" t="s">
        <v>44</v>
      </c>
      <c r="C712" s="10"/>
      <c r="H712" s="7"/>
      <c r="J712" s="1"/>
    </row>
    <row r="713" spans="1:10">
      <c r="A713" s="41" t="s">
        <v>44</v>
      </c>
      <c r="C713" s="10"/>
      <c r="H713" s="7"/>
      <c r="J713" s="1"/>
    </row>
    <row r="714" spans="1:10">
      <c r="A714" s="41" t="s">
        <v>44</v>
      </c>
      <c r="C714" s="10"/>
      <c r="H714" s="7"/>
      <c r="J714" s="1"/>
    </row>
    <row r="715" spans="1:10">
      <c r="A715" s="41" t="s">
        <v>44</v>
      </c>
      <c r="C715" s="10"/>
      <c r="H715" s="7"/>
      <c r="J715" s="1"/>
    </row>
    <row r="716" spans="1:10">
      <c r="A716" s="41" t="s">
        <v>44</v>
      </c>
      <c r="C716" s="10"/>
      <c r="H716" s="7"/>
      <c r="J716" s="1"/>
    </row>
    <row r="717" spans="1:10">
      <c r="A717" s="41" t="s">
        <v>44</v>
      </c>
      <c r="C717" s="10"/>
      <c r="H717" s="7"/>
      <c r="J717" s="1"/>
    </row>
    <row r="718" spans="1:10">
      <c r="A718" s="41" t="s">
        <v>44</v>
      </c>
      <c r="C718" s="10"/>
      <c r="H718" s="7"/>
      <c r="J718" s="1"/>
    </row>
    <row r="719" spans="1:10">
      <c r="A719" s="41" t="s">
        <v>44</v>
      </c>
      <c r="C719" s="10"/>
      <c r="H719" s="7"/>
      <c r="J719" s="1"/>
    </row>
    <row r="720" spans="1:10">
      <c r="A720" s="41" t="s">
        <v>44</v>
      </c>
      <c r="C720" s="10"/>
      <c r="H720" s="7"/>
      <c r="J720" s="1"/>
    </row>
    <row r="721" spans="1:10">
      <c r="A721" s="41" t="s">
        <v>44</v>
      </c>
      <c r="C721" s="10"/>
      <c r="H721" s="7"/>
      <c r="J721" s="1"/>
    </row>
    <row r="722" spans="1:10">
      <c r="A722" s="41" t="s">
        <v>44</v>
      </c>
      <c r="C722" s="10"/>
      <c r="H722" s="7"/>
      <c r="J722" s="1"/>
    </row>
    <row r="723" spans="1:10">
      <c r="A723" s="41" t="s">
        <v>44</v>
      </c>
      <c r="C723" s="10"/>
      <c r="H723" s="7"/>
      <c r="J723" s="1"/>
    </row>
    <row r="724" spans="1:10">
      <c r="A724" s="41" t="s">
        <v>44</v>
      </c>
      <c r="C724" s="10"/>
      <c r="H724" s="7"/>
      <c r="J724" s="1"/>
    </row>
    <row r="725" spans="1:10">
      <c r="A725" s="41" t="s">
        <v>44</v>
      </c>
      <c r="C725" s="10"/>
      <c r="H725" s="7"/>
      <c r="J725" s="1"/>
    </row>
    <row r="726" spans="1:10">
      <c r="A726" s="41" t="s">
        <v>44</v>
      </c>
      <c r="C726" s="10"/>
      <c r="H726" s="7"/>
      <c r="J726" s="1"/>
    </row>
    <row r="727" spans="1:10">
      <c r="A727" s="41" t="s">
        <v>44</v>
      </c>
      <c r="C727" s="10"/>
      <c r="H727" s="7"/>
      <c r="J727" s="1"/>
    </row>
    <row r="728" spans="1:10">
      <c r="A728" s="41" t="s">
        <v>44</v>
      </c>
      <c r="C728" s="10"/>
      <c r="H728" s="7"/>
      <c r="J728" s="1"/>
    </row>
    <row r="729" spans="1:10">
      <c r="A729" s="41" t="s">
        <v>44</v>
      </c>
      <c r="C729" s="10"/>
      <c r="H729" s="7"/>
      <c r="J729" s="1"/>
    </row>
    <row r="730" spans="1:10">
      <c r="A730" s="41" t="s">
        <v>44</v>
      </c>
      <c r="C730" s="10"/>
      <c r="H730" s="7"/>
      <c r="J730" s="1"/>
    </row>
    <row r="731" spans="1:10">
      <c r="A731" s="41" t="s">
        <v>44</v>
      </c>
      <c r="C731" s="10"/>
      <c r="H731" s="7"/>
      <c r="J731" s="1"/>
    </row>
    <row r="732" spans="1:10">
      <c r="A732" s="41" t="s">
        <v>44</v>
      </c>
      <c r="C732" s="10"/>
      <c r="H732" s="7"/>
      <c r="J732" s="1"/>
    </row>
    <row r="733" spans="1:10">
      <c r="A733" s="41" t="s">
        <v>44</v>
      </c>
      <c r="C733" s="10"/>
      <c r="H733" s="7"/>
      <c r="J733" s="1"/>
    </row>
    <row r="734" spans="1:10">
      <c r="A734" s="41" t="s">
        <v>44</v>
      </c>
      <c r="C734" s="10"/>
      <c r="H734" s="7"/>
      <c r="J734" s="1"/>
    </row>
    <row r="735" spans="1:10">
      <c r="A735" s="41" t="s">
        <v>44</v>
      </c>
      <c r="C735" s="10"/>
      <c r="H735" s="7"/>
      <c r="J735" s="1"/>
    </row>
    <row r="736" spans="1:10">
      <c r="A736" s="41" t="s">
        <v>44</v>
      </c>
      <c r="C736" s="10"/>
      <c r="H736" s="7"/>
      <c r="J736" s="1"/>
    </row>
    <row r="737" spans="1:10">
      <c r="A737" s="41" t="s">
        <v>44</v>
      </c>
      <c r="C737" s="10"/>
      <c r="H737" s="7"/>
      <c r="J737" s="1"/>
    </row>
    <row r="738" spans="1:10">
      <c r="A738" s="41" t="s">
        <v>44</v>
      </c>
      <c r="C738" s="10"/>
      <c r="H738" s="7"/>
      <c r="J738" s="1"/>
    </row>
    <row r="739" spans="1:10">
      <c r="A739" s="41" t="s">
        <v>44</v>
      </c>
      <c r="C739" s="10"/>
      <c r="H739" s="7"/>
      <c r="J739" s="1"/>
    </row>
    <row r="740" spans="1:10">
      <c r="A740" s="41" t="s">
        <v>44</v>
      </c>
      <c r="C740" s="10"/>
      <c r="H740" s="7"/>
      <c r="J740" s="1"/>
    </row>
    <row r="741" spans="1:10">
      <c r="A741" s="41" t="s">
        <v>44</v>
      </c>
      <c r="C741" s="10"/>
      <c r="H741" s="7"/>
      <c r="J741" s="1"/>
    </row>
    <row r="742" spans="1:10">
      <c r="A742" s="41" t="s">
        <v>44</v>
      </c>
      <c r="C742" s="10"/>
      <c r="H742" s="7"/>
      <c r="J742" s="1"/>
    </row>
    <row r="743" spans="1:10">
      <c r="A743" s="41" t="s">
        <v>44</v>
      </c>
      <c r="C743" s="10"/>
      <c r="H743" s="7"/>
      <c r="J743" s="1"/>
    </row>
    <row r="744" spans="1:10">
      <c r="A744" s="41" t="s">
        <v>44</v>
      </c>
      <c r="C744" s="10"/>
      <c r="H744" s="7"/>
      <c r="J744" s="1"/>
    </row>
    <row r="745" spans="1:10">
      <c r="A745" s="41" t="s">
        <v>44</v>
      </c>
      <c r="C745" s="10"/>
      <c r="H745" s="7"/>
      <c r="J745" s="1"/>
    </row>
    <row r="746" spans="1:10">
      <c r="A746" s="41" t="s">
        <v>44</v>
      </c>
      <c r="C746" s="10"/>
      <c r="H746" s="7"/>
      <c r="J746" s="1"/>
    </row>
    <row r="747" spans="1:10">
      <c r="A747" s="41" t="s">
        <v>44</v>
      </c>
      <c r="C747" s="10"/>
      <c r="H747" s="7"/>
      <c r="J747" s="1"/>
    </row>
    <row r="748" spans="1:10">
      <c r="A748" s="41" t="s">
        <v>44</v>
      </c>
      <c r="C748" s="10"/>
      <c r="H748" s="7"/>
      <c r="J748" s="1"/>
    </row>
    <row r="749" spans="1:10">
      <c r="A749" s="41" t="s">
        <v>44</v>
      </c>
      <c r="C749" s="10"/>
      <c r="H749" s="7"/>
      <c r="J749" s="1"/>
    </row>
    <row r="750" spans="1:10">
      <c r="A750" s="41" t="s">
        <v>44</v>
      </c>
      <c r="C750" s="10"/>
      <c r="H750" s="7"/>
      <c r="J750" s="1"/>
    </row>
    <row r="751" spans="1:10">
      <c r="A751" s="41" t="s">
        <v>44</v>
      </c>
      <c r="C751" s="10"/>
      <c r="H751" s="7"/>
      <c r="J751" s="1"/>
    </row>
    <row r="752" spans="1:10">
      <c r="A752" s="41" t="s">
        <v>44</v>
      </c>
      <c r="C752" s="10"/>
      <c r="H752" s="7"/>
      <c r="J752" s="1"/>
    </row>
    <row r="753" spans="1:10">
      <c r="A753" s="41" t="s">
        <v>44</v>
      </c>
      <c r="C753" s="10"/>
      <c r="H753" s="7"/>
      <c r="J753" s="1"/>
    </row>
    <row r="754" spans="1:10">
      <c r="A754" s="41" t="s">
        <v>44</v>
      </c>
      <c r="C754" s="10"/>
      <c r="H754" s="7"/>
      <c r="J754" s="1"/>
    </row>
    <row r="755" spans="1:10">
      <c r="A755" s="41" t="s">
        <v>44</v>
      </c>
      <c r="C755" s="10"/>
      <c r="H755" s="7"/>
      <c r="J755" s="1"/>
    </row>
    <row r="756" spans="1:10">
      <c r="A756" s="41" t="s">
        <v>44</v>
      </c>
      <c r="C756" s="10"/>
      <c r="H756" s="7"/>
      <c r="J756" s="1"/>
    </row>
    <row r="757" spans="1:10">
      <c r="A757" s="41" t="s">
        <v>44</v>
      </c>
      <c r="C757" s="10"/>
      <c r="H757" s="7"/>
      <c r="J757" s="1"/>
    </row>
    <row r="758" spans="1:10">
      <c r="A758" s="41" t="s">
        <v>44</v>
      </c>
      <c r="C758" s="10"/>
      <c r="H758" s="7"/>
      <c r="J758" s="1"/>
    </row>
    <row r="759" spans="1:10">
      <c r="A759" s="41" t="s">
        <v>44</v>
      </c>
      <c r="C759" s="10"/>
      <c r="H759" s="7"/>
      <c r="J759" s="1"/>
    </row>
    <row r="760" spans="1:10">
      <c r="A760" s="41" t="s">
        <v>44</v>
      </c>
      <c r="C760" s="10"/>
      <c r="H760" s="7"/>
      <c r="J760" s="1"/>
    </row>
    <row r="761" spans="1:10">
      <c r="A761" s="41" t="s">
        <v>44</v>
      </c>
      <c r="C761" s="10"/>
      <c r="H761" s="7"/>
      <c r="J761" s="1"/>
    </row>
    <row r="762" spans="1:10">
      <c r="A762" s="41" t="s">
        <v>44</v>
      </c>
      <c r="C762" s="10"/>
      <c r="H762" s="7"/>
      <c r="J762" s="1"/>
    </row>
    <row r="763" spans="1:10">
      <c r="A763" s="41" t="s">
        <v>44</v>
      </c>
      <c r="C763" s="10"/>
      <c r="H763" s="7"/>
      <c r="J763" s="1"/>
    </row>
    <row r="764" spans="1:10">
      <c r="A764" s="41" t="s">
        <v>44</v>
      </c>
      <c r="C764" s="10"/>
      <c r="H764" s="7"/>
      <c r="J764" s="1"/>
    </row>
    <row r="765" spans="1:10">
      <c r="A765" s="41" t="s">
        <v>44</v>
      </c>
      <c r="C765" s="10"/>
      <c r="H765" s="7"/>
      <c r="J765" s="1"/>
    </row>
    <row r="766" spans="1:10">
      <c r="A766" s="41" t="s">
        <v>44</v>
      </c>
      <c r="C766" s="10"/>
      <c r="H766" s="7"/>
      <c r="J766" s="1"/>
    </row>
    <row r="767" spans="1:10">
      <c r="A767" s="41" t="s">
        <v>44</v>
      </c>
      <c r="C767" s="10"/>
      <c r="H767" s="7"/>
      <c r="J767" s="1"/>
    </row>
    <row r="768" spans="1:10">
      <c r="A768" s="41" t="s">
        <v>44</v>
      </c>
      <c r="C768" s="10"/>
      <c r="H768" s="7"/>
      <c r="J768" s="1"/>
    </row>
    <row r="769" spans="1:10">
      <c r="A769" s="41" t="s">
        <v>44</v>
      </c>
      <c r="C769" s="10"/>
      <c r="H769" s="7"/>
      <c r="J769" s="1"/>
    </row>
    <row r="770" spans="1:10">
      <c r="A770" s="41" t="s">
        <v>44</v>
      </c>
      <c r="C770" s="10"/>
      <c r="H770" s="7"/>
      <c r="J770" s="1"/>
    </row>
    <row r="771" spans="1:10">
      <c r="A771" s="41" t="s">
        <v>44</v>
      </c>
      <c r="C771" s="10"/>
      <c r="H771" s="7"/>
      <c r="J771" s="1"/>
    </row>
    <row r="772" spans="1:10">
      <c r="A772" s="41" t="s">
        <v>44</v>
      </c>
      <c r="C772" s="10"/>
      <c r="H772" s="7"/>
      <c r="J772" s="1"/>
    </row>
    <row r="773" spans="1:10">
      <c r="A773" s="41" t="s">
        <v>44</v>
      </c>
      <c r="C773" s="10"/>
      <c r="H773" s="7"/>
      <c r="J773" s="1"/>
    </row>
    <row r="774" spans="1:10">
      <c r="A774" s="41" t="s">
        <v>44</v>
      </c>
      <c r="C774" s="10"/>
      <c r="H774" s="7"/>
      <c r="J774" s="1"/>
    </row>
    <row r="775" spans="1:10">
      <c r="A775" s="41" t="s">
        <v>44</v>
      </c>
      <c r="C775" s="10"/>
      <c r="H775" s="7"/>
      <c r="J775" s="1"/>
    </row>
    <row r="776" spans="1:10">
      <c r="A776" s="41" t="s">
        <v>44</v>
      </c>
      <c r="C776" s="10"/>
      <c r="H776" s="7"/>
      <c r="J776" s="1"/>
    </row>
    <row r="777" spans="1:10">
      <c r="A777" s="41" t="s">
        <v>44</v>
      </c>
      <c r="C777" s="10"/>
      <c r="H777" s="7"/>
      <c r="J777" s="1"/>
    </row>
    <row r="778" spans="1:10">
      <c r="A778" s="41" t="s">
        <v>44</v>
      </c>
      <c r="C778" s="10"/>
      <c r="H778" s="7"/>
      <c r="J778" s="1"/>
    </row>
    <row r="779" spans="1:10">
      <c r="A779" s="41" t="s">
        <v>44</v>
      </c>
      <c r="C779" s="10"/>
      <c r="H779" s="7"/>
      <c r="J779" s="1"/>
    </row>
    <row r="780" spans="1:10">
      <c r="A780" s="41" t="s">
        <v>44</v>
      </c>
      <c r="C780" s="10"/>
      <c r="H780" s="7"/>
      <c r="J780" s="1"/>
    </row>
    <row r="781" spans="1:10">
      <c r="A781" s="41" t="s">
        <v>44</v>
      </c>
      <c r="C781" s="10"/>
      <c r="H781" s="7"/>
      <c r="J781" s="1"/>
    </row>
    <row r="782" spans="1:10">
      <c r="A782" s="41" t="s">
        <v>44</v>
      </c>
      <c r="C782" s="10"/>
      <c r="H782" s="7"/>
      <c r="J782" s="1"/>
    </row>
    <row r="783" spans="1:10">
      <c r="A783" s="41" t="s">
        <v>44</v>
      </c>
      <c r="C783" s="10"/>
      <c r="H783" s="7"/>
      <c r="J783" s="1"/>
    </row>
    <row r="784" spans="1:10">
      <c r="A784" s="41" t="s">
        <v>44</v>
      </c>
      <c r="C784" s="10"/>
      <c r="H784" s="7"/>
      <c r="J784" s="1"/>
    </row>
    <row r="785" spans="1:10">
      <c r="A785" s="41" t="s">
        <v>44</v>
      </c>
      <c r="C785" s="10"/>
      <c r="H785" s="7"/>
      <c r="J785" s="1"/>
    </row>
    <row r="786" spans="1:10">
      <c r="A786" s="41" t="s">
        <v>44</v>
      </c>
      <c r="C786" s="10"/>
      <c r="H786" s="7"/>
      <c r="J786" s="1"/>
    </row>
    <row r="787" spans="1:10">
      <c r="A787" s="41" t="s">
        <v>44</v>
      </c>
      <c r="C787" s="10"/>
      <c r="H787" s="7"/>
      <c r="J787" s="1"/>
    </row>
    <row r="788" spans="1:10">
      <c r="A788" s="41" t="s">
        <v>44</v>
      </c>
      <c r="C788" s="10"/>
      <c r="H788" s="7"/>
      <c r="J788" s="1"/>
    </row>
    <row r="789" spans="1:10">
      <c r="A789" s="41" t="s">
        <v>44</v>
      </c>
      <c r="C789" s="10"/>
      <c r="H789" s="7"/>
      <c r="J789" s="1"/>
    </row>
    <row r="790" spans="1:10">
      <c r="A790" s="41" t="s">
        <v>44</v>
      </c>
      <c r="C790" s="10"/>
      <c r="H790" s="7"/>
      <c r="J790" s="1"/>
    </row>
    <row r="791" spans="1:10">
      <c r="A791" s="41" t="s">
        <v>44</v>
      </c>
      <c r="C791" s="10"/>
      <c r="H791" s="7"/>
      <c r="J791" s="1"/>
    </row>
    <row r="792" spans="1:10">
      <c r="A792" s="41" t="s">
        <v>44</v>
      </c>
      <c r="C792" s="10"/>
      <c r="H792" s="7"/>
      <c r="J792" s="1"/>
    </row>
    <row r="793" spans="1:10">
      <c r="A793" s="41" t="s">
        <v>44</v>
      </c>
      <c r="C793" s="10"/>
      <c r="H793" s="7"/>
      <c r="J793" s="1"/>
    </row>
    <row r="794" spans="1:10">
      <c r="A794" s="41" t="s">
        <v>44</v>
      </c>
      <c r="C794" s="10"/>
      <c r="H794" s="7"/>
      <c r="J794" s="1"/>
    </row>
    <row r="795" spans="1:10">
      <c r="A795" s="41" t="s">
        <v>44</v>
      </c>
      <c r="C795" s="10"/>
      <c r="H795" s="7"/>
      <c r="J795" s="1"/>
    </row>
    <row r="796" spans="1:10">
      <c r="A796" s="41" t="s">
        <v>44</v>
      </c>
      <c r="C796" s="10"/>
      <c r="H796" s="7"/>
      <c r="J796" s="1"/>
    </row>
    <row r="797" spans="1:10">
      <c r="A797" s="41" t="s">
        <v>44</v>
      </c>
      <c r="C797" s="10"/>
      <c r="H797" s="7"/>
      <c r="J797" s="1"/>
    </row>
    <row r="798" spans="1:10">
      <c r="A798" s="41" t="s">
        <v>44</v>
      </c>
      <c r="C798" s="10"/>
      <c r="H798" s="7"/>
      <c r="J798" s="1"/>
    </row>
    <row r="799" spans="1:10">
      <c r="A799" s="41" t="s">
        <v>44</v>
      </c>
      <c r="C799" s="10"/>
      <c r="H799" s="7"/>
      <c r="J799" s="1"/>
    </row>
    <row r="800" spans="1:10">
      <c r="A800" s="41" t="s">
        <v>44</v>
      </c>
      <c r="C800" s="10"/>
      <c r="H800" s="7"/>
      <c r="J800" s="1"/>
    </row>
    <row r="801" spans="1:10">
      <c r="A801" s="41" t="s">
        <v>44</v>
      </c>
      <c r="C801" s="10"/>
      <c r="H801" s="7"/>
      <c r="J801" s="1"/>
    </row>
    <row r="802" spans="1:10">
      <c r="A802" s="41" t="s">
        <v>44</v>
      </c>
      <c r="C802" s="10"/>
      <c r="H802" s="7"/>
      <c r="J802" s="1"/>
    </row>
    <row r="803" spans="1:10">
      <c r="A803" s="41" t="s">
        <v>44</v>
      </c>
      <c r="C803" s="10"/>
      <c r="H803" s="7"/>
      <c r="J803" s="1"/>
    </row>
    <row r="804" spans="1:10">
      <c r="A804" s="41" t="s">
        <v>44</v>
      </c>
      <c r="C804" s="10"/>
      <c r="H804" s="7"/>
      <c r="J804" s="1"/>
    </row>
    <row r="805" spans="1:10">
      <c r="A805" s="41" t="s">
        <v>44</v>
      </c>
      <c r="C805" s="10"/>
      <c r="H805" s="7"/>
      <c r="J805" s="1"/>
    </row>
    <row r="806" spans="1:10">
      <c r="A806" s="41" t="s">
        <v>44</v>
      </c>
      <c r="C806" s="10"/>
      <c r="H806" s="7"/>
      <c r="J806" s="1"/>
    </row>
    <row r="807" spans="1:10">
      <c r="A807" s="41" t="s">
        <v>44</v>
      </c>
      <c r="C807" s="10"/>
      <c r="H807" s="7"/>
      <c r="J807" s="1"/>
    </row>
    <row r="808" spans="1:10">
      <c r="A808" s="41" t="s">
        <v>44</v>
      </c>
      <c r="C808" s="10"/>
      <c r="H808" s="7"/>
      <c r="J808" s="1"/>
    </row>
    <row r="809" spans="1:10">
      <c r="A809" s="41" t="s">
        <v>44</v>
      </c>
      <c r="C809" s="10"/>
      <c r="H809" s="7"/>
      <c r="J809" s="1"/>
    </row>
    <row r="810" spans="1:10">
      <c r="A810" s="41" t="s">
        <v>44</v>
      </c>
      <c r="C810" s="10"/>
      <c r="H810" s="7"/>
      <c r="J810" s="1"/>
    </row>
    <row r="811" spans="1:10">
      <c r="A811" s="41" t="s">
        <v>44</v>
      </c>
      <c r="C811" s="10"/>
      <c r="H811" s="7"/>
      <c r="J811" s="1"/>
    </row>
    <row r="812" spans="1:10">
      <c r="A812" s="41" t="s">
        <v>44</v>
      </c>
      <c r="C812" s="10"/>
      <c r="H812" s="7"/>
      <c r="J812" s="1"/>
    </row>
    <row r="813" spans="1:10">
      <c r="A813" s="41" t="s">
        <v>44</v>
      </c>
      <c r="C813" s="10"/>
    </row>
    <row r="814" spans="1:10">
      <c r="A814" s="41" t="s">
        <v>44</v>
      </c>
      <c r="C814" s="10"/>
    </row>
    <row r="815" spans="1:10">
      <c r="A815" s="41" t="s">
        <v>44</v>
      </c>
      <c r="C815" s="10"/>
    </row>
    <row r="816" spans="1:10">
      <c r="A816" s="41" t="s">
        <v>44</v>
      </c>
      <c r="C816" s="10"/>
    </row>
    <row r="817" spans="1:3">
      <c r="A817" s="41" t="s">
        <v>44</v>
      </c>
      <c r="C817" s="10"/>
    </row>
    <row r="818" spans="1:3">
      <c r="A818" s="41" t="s">
        <v>44</v>
      </c>
      <c r="C818" s="10"/>
    </row>
    <row r="819" spans="1:3">
      <c r="A819" s="41" t="s">
        <v>44</v>
      </c>
      <c r="C819" s="10"/>
    </row>
    <row r="820" spans="1:3">
      <c r="A820" s="41" t="s">
        <v>44</v>
      </c>
      <c r="C820" s="10"/>
    </row>
    <row r="821" spans="1:3">
      <c r="A821" s="41" t="s">
        <v>44</v>
      </c>
    </row>
    <row r="822" spans="1:3">
      <c r="A822" s="41" t="s">
        <v>44</v>
      </c>
    </row>
    <row r="823" spans="1:3">
      <c r="A823" s="41" t="s">
        <v>44</v>
      </c>
    </row>
    <row r="824" spans="1:3">
      <c r="A824" s="41" t="s">
        <v>44</v>
      </c>
    </row>
    <row r="825" spans="1:3">
      <c r="A825" s="41" t="s">
        <v>44</v>
      </c>
    </row>
    <row r="826" spans="1:3">
      <c r="A826" s="41" t="s">
        <v>44</v>
      </c>
    </row>
    <row r="827" spans="1:3">
      <c r="A827" s="41" t="s">
        <v>44</v>
      </c>
    </row>
    <row r="828" spans="1:3">
      <c r="A828" s="41" t="s">
        <v>44</v>
      </c>
    </row>
    <row r="829" spans="1:3">
      <c r="A829" s="41" t="s">
        <v>44</v>
      </c>
    </row>
    <row r="830" spans="1:3">
      <c r="A830" s="41" t="s">
        <v>44</v>
      </c>
    </row>
    <row r="831" spans="1:3">
      <c r="A831" s="41" t="s">
        <v>44</v>
      </c>
    </row>
    <row r="832" spans="1:3">
      <c r="A832" s="41" t="s">
        <v>44</v>
      </c>
    </row>
    <row r="833" spans="1:2">
      <c r="A833" s="41" t="s">
        <v>44</v>
      </c>
    </row>
    <row r="834" spans="1:2">
      <c r="A834" s="41" t="s">
        <v>44</v>
      </c>
    </row>
    <row r="835" spans="1:2">
      <c r="A835" s="41" t="s">
        <v>44</v>
      </c>
    </row>
    <row r="836" spans="1:2">
      <c r="A836" s="41" t="s">
        <v>44</v>
      </c>
    </row>
    <row r="837" spans="1:2">
      <c r="A837" s="41" t="s">
        <v>44</v>
      </c>
    </row>
    <row r="838" spans="1:2">
      <c r="A838" s="41" t="s">
        <v>44</v>
      </c>
    </row>
    <row r="839" spans="1:2">
      <c r="A839" s="41" t="s">
        <v>44</v>
      </c>
    </row>
    <row r="840" spans="1:2">
      <c r="A840" s="41" t="s">
        <v>44</v>
      </c>
      <c r="B840">
        <v>6</v>
      </c>
    </row>
    <row r="841" spans="1:2">
      <c r="A841" s="41" t="s">
        <v>44</v>
      </c>
      <c r="B841">
        <v>6</v>
      </c>
    </row>
    <row r="842" spans="1:2">
      <c r="A842" s="41" t="s">
        <v>44</v>
      </c>
      <c r="B842">
        <v>6</v>
      </c>
    </row>
    <row r="843" spans="1:2">
      <c r="A843" s="41" t="s">
        <v>44</v>
      </c>
      <c r="B843">
        <v>6</v>
      </c>
    </row>
    <row r="844" spans="1:2">
      <c r="A844" s="41" t="s">
        <v>44</v>
      </c>
      <c r="B844">
        <v>6</v>
      </c>
    </row>
    <row r="845" spans="1:2">
      <c r="A845" s="41" t="s">
        <v>44</v>
      </c>
      <c r="B845">
        <v>6</v>
      </c>
    </row>
    <row r="846" spans="1:2">
      <c r="A846" s="41" t="s">
        <v>44</v>
      </c>
      <c r="B846">
        <v>6</v>
      </c>
    </row>
    <row r="847" spans="1:2">
      <c r="A847" s="41" t="s">
        <v>44</v>
      </c>
      <c r="B847">
        <v>6</v>
      </c>
    </row>
    <row r="848" spans="1:2">
      <c r="A848" s="41" t="s">
        <v>44</v>
      </c>
      <c r="B848">
        <v>6</v>
      </c>
    </row>
    <row r="849" spans="1:2">
      <c r="A849" s="41" t="s">
        <v>44</v>
      </c>
      <c r="B849">
        <v>6</v>
      </c>
    </row>
    <row r="850" spans="1:2">
      <c r="A850" s="41" t="s">
        <v>44</v>
      </c>
      <c r="B850">
        <v>6</v>
      </c>
    </row>
    <row r="851" spans="1:2">
      <c r="A851" s="41" t="s">
        <v>44</v>
      </c>
      <c r="B851">
        <v>6</v>
      </c>
    </row>
    <row r="852" spans="1:2">
      <c r="A852" s="41" t="s">
        <v>44</v>
      </c>
      <c r="B852">
        <v>6</v>
      </c>
    </row>
    <row r="853" spans="1:2">
      <c r="A853" s="41" t="s">
        <v>44</v>
      </c>
      <c r="B853">
        <v>6</v>
      </c>
    </row>
    <row r="854" spans="1:2">
      <c r="A854" s="41" t="s">
        <v>44</v>
      </c>
      <c r="B854">
        <v>6</v>
      </c>
    </row>
    <row r="855" spans="1:2">
      <c r="A855" s="41" t="s">
        <v>44</v>
      </c>
      <c r="B855">
        <v>6</v>
      </c>
    </row>
    <row r="856" spans="1:2">
      <c r="A856" s="41" t="s">
        <v>44</v>
      </c>
      <c r="B856">
        <v>6</v>
      </c>
    </row>
    <row r="857" spans="1:2">
      <c r="A857" s="41" t="s">
        <v>44</v>
      </c>
      <c r="B857">
        <v>6</v>
      </c>
    </row>
    <row r="858" spans="1:2">
      <c r="A858" s="41" t="s">
        <v>44</v>
      </c>
      <c r="B858">
        <v>6</v>
      </c>
    </row>
    <row r="859" spans="1:2">
      <c r="A859" s="41" t="s">
        <v>44</v>
      </c>
      <c r="B859">
        <v>6</v>
      </c>
    </row>
    <row r="860" spans="1:2">
      <c r="A860" s="41" t="s">
        <v>44</v>
      </c>
      <c r="B860">
        <v>6</v>
      </c>
    </row>
    <row r="861" spans="1:2">
      <c r="A861" s="41" t="s">
        <v>44</v>
      </c>
      <c r="B861">
        <v>6</v>
      </c>
    </row>
    <row r="862" spans="1:2">
      <c r="A862" s="41" t="s">
        <v>44</v>
      </c>
      <c r="B862">
        <v>6</v>
      </c>
    </row>
    <row r="863" spans="1:2">
      <c r="A863" s="41" t="s">
        <v>44</v>
      </c>
      <c r="B863">
        <v>6</v>
      </c>
    </row>
    <row r="864" spans="1:2">
      <c r="A864" s="41" t="s">
        <v>44</v>
      </c>
      <c r="B864">
        <v>6</v>
      </c>
    </row>
    <row r="865" spans="1:8">
      <c r="A865" s="41" t="s">
        <v>44</v>
      </c>
      <c r="B865">
        <v>6</v>
      </c>
    </row>
    <row r="866" spans="1:8">
      <c r="A866" s="41" t="s">
        <v>44</v>
      </c>
      <c r="B866">
        <v>6</v>
      </c>
    </row>
    <row r="867" spans="1:8">
      <c r="A867" s="41" t="s">
        <v>44</v>
      </c>
      <c r="B867">
        <v>6</v>
      </c>
    </row>
    <row r="868" spans="1:8">
      <c r="A868" s="41" t="s">
        <v>44</v>
      </c>
      <c r="B868">
        <v>6</v>
      </c>
    </row>
    <row r="869" spans="1:8">
      <c r="A869" s="41" t="s">
        <v>44</v>
      </c>
      <c r="B869">
        <v>6</v>
      </c>
    </row>
    <row r="870" spans="1:8">
      <c r="A870" s="41" t="s">
        <v>44</v>
      </c>
      <c r="B870">
        <v>6</v>
      </c>
    </row>
    <row r="871" spans="1:8">
      <c r="A871" s="41" t="s">
        <v>44</v>
      </c>
      <c r="B871">
        <v>6</v>
      </c>
    </row>
    <row r="872" spans="1:8">
      <c r="A872" s="41" t="s">
        <v>44</v>
      </c>
      <c r="B872">
        <v>6</v>
      </c>
    </row>
    <row r="873" spans="1:8">
      <c r="A873" s="41" t="s">
        <v>44</v>
      </c>
      <c r="B873">
        <v>6</v>
      </c>
    </row>
    <row r="874" spans="1:8">
      <c r="A874" s="41" t="s">
        <v>44</v>
      </c>
      <c r="B874">
        <v>6</v>
      </c>
    </row>
    <row r="875" spans="1:8">
      <c r="A875" s="41" t="s">
        <v>44</v>
      </c>
      <c r="B875">
        <v>6</v>
      </c>
    </row>
    <row r="876" spans="1:8">
      <c r="A876" s="41" t="s">
        <v>44</v>
      </c>
      <c r="B876">
        <v>6</v>
      </c>
    </row>
    <row r="877" spans="1:8">
      <c r="A877" s="41" t="s">
        <v>44</v>
      </c>
      <c r="B877">
        <v>6</v>
      </c>
    </row>
    <row r="878" spans="1:8">
      <c r="A878" s="41" t="s">
        <v>44</v>
      </c>
      <c r="B878">
        <v>6</v>
      </c>
    </row>
    <row r="879" spans="1:8">
      <c r="A879" s="41" t="s">
        <v>44</v>
      </c>
      <c r="B879">
        <v>6</v>
      </c>
    </row>
    <row r="880" spans="1:8">
      <c r="D880" s="1"/>
      <c r="H880" s="7"/>
    </row>
    <row r="889" spans="5:10">
      <c r="E889" s="21"/>
      <c r="I889" s="1"/>
      <c r="J889" s="1"/>
    </row>
    <row r="890" spans="5:10">
      <c r="E890" s="21"/>
    </row>
    <row r="891" spans="5:10">
      <c r="E891" s="21"/>
    </row>
    <row r="892" spans="5:10">
      <c r="E892" s="21"/>
    </row>
    <row r="893" spans="5:10">
      <c r="E893" s="21"/>
    </row>
    <row r="894" spans="5:10">
      <c r="E894" s="21"/>
    </row>
    <row r="895" spans="5:10">
      <c r="E895" s="21"/>
    </row>
  </sheetData>
  <autoFilter ref="A4:K880" xr:uid="{00000000-0009-0000-0000-000001000000}"/>
  <dataValidations count="1">
    <dataValidation type="list" allowBlank="1" showInputMessage="1" showErrorMessage="1" sqref="C5:C687" xr:uid="{00000000-0002-0000-0100-000000000000}">
      <formula1>$M$2:$M$4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0"/>
  <sheetViews>
    <sheetView tabSelected="1" workbookViewId="0">
      <selection activeCell="E13" sqref="E13"/>
    </sheetView>
  </sheetViews>
  <sheetFormatPr defaultRowHeight="15"/>
  <cols>
    <col min="2" max="2" width="12.28515625" customWidth="1"/>
    <col min="3" max="3" width="11.7109375" style="58" customWidth="1"/>
    <col min="4" max="4" width="14.5703125" customWidth="1"/>
    <col min="6" max="6" width="20.28515625" customWidth="1"/>
    <col min="7" max="7" width="11.140625" customWidth="1"/>
    <col min="8" max="8" width="11.28515625" bestFit="1" customWidth="1"/>
    <col min="9" max="9" width="9.85546875" bestFit="1" customWidth="1"/>
    <col min="10" max="10" width="14.28515625" customWidth="1"/>
    <col min="11" max="11" width="15.140625" customWidth="1"/>
  </cols>
  <sheetData>
    <row r="1" spans="1:17" ht="19.899999999999999" customHeight="1">
      <c r="A1" s="44"/>
      <c r="B1" s="104" t="s">
        <v>45</v>
      </c>
      <c r="C1" s="105"/>
      <c r="D1" s="105"/>
      <c r="E1" s="61"/>
      <c r="F1" s="63"/>
      <c r="G1" s="64" t="s">
        <v>46</v>
      </c>
      <c r="H1" s="65" t="s">
        <v>47</v>
      </c>
      <c r="I1" s="65" t="s">
        <v>48</v>
      </c>
      <c r="J1" s="66" t="s">
        <v>65</v>
      </c>
      <c r="K1" s="67">
        <f>SUM(I2:I9)</f>
        <v>268798</v>
      </c>
      <c r="L1" s="103"/>
      <c r="M1" s="103"/>
    </row>
    <row r="2" spans="1:17" ht="19.149999999999999" customHeight="1">
      <c r="A2" s="44"/>
      <c r="B2" s="104"/>
      <c r="C2" s="105"/>
      <c r="D2" s="105"/>
      <c r="E2" s="61"/>
      <c r="F2" s="68" t="s">
        <v>24</v>
      </c>
      <c r="G2" s="71">
        <f>খরচ!$S$3</f>
        <v>98072</v>
      </c>
      <c r="H2" s="71">
        <f>SUMIFS(C11:C226,D11:D226,F2)</f>
        <v>50000</v>
      </c>
      <c r="I2" s="69">
        <f>G2-H2</f>
        <v>48072</v>
      </c>
      <c r="J2" s="65"/>
      <c r="K2" s="65"/>
      <c r="L2" s="103"/>
      <c r="M2" s="103"/>
    </row>
    <row r="3" spans="1:17" ht="20.45" customHeight="1">
      <c r="A3" s="44"/>
      <c r="B3" s="104"/>
      <c r="C3" s="105"/>
      <c r="D3" s="105"/>
      <c r="E3" s="61"/>
      <c r="F3" s="68" t="s">
        <v>25</v>
      </c>
      <c r="G3" s="71">
        <f>খরচ!$S$6</f>
        <v>0</v>
      </c>
      <c r="H3" s="71">
        <f>SUMIFS(C:C,D:D,F3)</f>
        <v>0</v>
      </c>
      <c r="I3" s="69">
        <f t="shared" ref="I3:I9" si="0">G3-H3</f>
        <v>0</v>
      </c>
      <c r="J3" s="65"/>
      <c r="K3" s="65"/>
      <c r="L3" s="9"/>
      <c r="M3" s="49"/>
    </row>
    <row r="4" spans="1:17" ht="22.9" customHeight="1">
      <c r="A4" s="45"/>
      <c r="B4" s="104"/>
      <c r="C4" s="105"/>
      <c r="D4" s="105"/>
      <c r="E4" s="61"/>
      <c r="F4" s="68" t="s">
        <v>26</v>
      </c>
      <c r="G4" s="71">
        <f>খরচ!$U$3</f>
        <v>7280</v>
      </c>
      <c r="H4" s="71">
        <f t="shared" ref="H4:H8" si="1">SUMIFS(C:C,D:D,F4)</f>
        <v>0</v>
      </c>
      <c r="I4" s="69">
        <f t="shared" si="0"/>
        <v>7280</v>
      </c>
      <c r="J4" s="65"/>
      <c r="K4" s="65"/>
      <c r="L4" s="9"/>
      <c r="M4" s="49"/>
    </row>
    <row r="5" spans="1:17" ht="21.6" customHeight="1">
      <c r="A5" s="44"/>
      <c r="B5" s="59"/>
      <c r="C5" s="73"/>
      <c r="D5" s="61"/>
      <c r="E5" s="61"/>
      <c r="F5" s="68" t="s">
        <v>27</v>
      </c>
      <c r="G5" s="71">
        <f>খরচ!$U$6</f>
        <v>138970</v>
      </c>
      <c r="H5" s="71">
        <f t="shared" si="1"/>
        <v>50000</v>
      </c>
      <c r="I5" s="69">
        <f t="shared" si="0"/>
        <v>88970</v>
      </c>
      <c r="J5" s="65"/>
      <c r="K5" s="65"/>
      <c r="L5" s="9"/>
      <c r="M5" s="49"/>
    </row>
    <row r="6" spans="1:17" ht="24" customHeight="1">
      <c r="A6" s="44"/>
      <c r="B6" s="59"/>
      <c r="C6" s="73"/>
      <c r="D6" s="61"/>
      <c r="E6" s="61"/>
      <c r="F6" s="70" t="s">
        <v>29</v>
      </c>
      <c r="G6" s="71">
        <f>খরচ!$W$3</f>
        <v>0</v>
      </c>
      <c r="H6" s="71">
        <f t="shared" si="1"/>
        <v>0</v>
      </c>
      <c r="I6" s="69">
        <f t="shared" si="0"/>
        <v>0</v>
      </c>
      <c r="J6" s="65"/>
      <c r="K6" s="65"/>
      <c r="L6" s="9"/>
      <c r="M6" s="49"/>
    </row>
    <row r="7" spans="1:17" ht="22.9" customHeight="1">
      <c r="A7" s="44"/>
      <c r="B7" s="59"/>
      <c r="C7" s="73"/>
      <c r="D7" s="61"/>
      <c r="E7" s="61"/>
      <c r="F7" s="70" t="s">
        <v>54</v>
      </c>
      <c r="G7" s="71">
        <f>খরচ!$W$6</f>
        <v>72476</v>
      </c>
      <c r="H7" s="71">
        <f t="shared" si="1"/>
        <v>0</v>
      </c>
      <c r="I7" s="69">
        <f t="shared" si="0"/>
        <v>72476</v>
      </c>
      <c r="J7" s="65"/>
      <c r="K7" s="65"/>
      <c r="L7" s="17"/>
      <c r="M7" s="49"/>
    </row>
    <row r="8" spans="1:17" ht="23.25">
      <c r="A8" s="44"/>
      <c r="B8" s="51"/>
      <c r="C8" s="74"/>
      <c r="D8" s="52"/>
      <c r="E8" s="9"/>
      <c r="F8" s="68" t="s">
        <v>28</v>
      </c>
      <c r="G8" s="72">
        <f>খরচ!$Y$3</f>
        <v>0</v>
      </c>
      <c r="H8" s="71">
        <f t="shared" si="1"/>
        <v>0</v>
      </c>
      <c r="I8" s="69">
        <f t="shared" si="0"/>
        <v>0</v>
      </c>
      <c r="J8" s="65"/>
      <c r="K8" s="65"/>
      <c r="L8" s="17"/>
      <c r="M8" s="49"/>
    </row>
    <row r="9" spans="1:17" ht="23.25">
      <c r="A9" s="44"/>
      <c r="B9" s="51"/>
      <c r="C9" s="74"/>
      <c r="D9" s="52"/>
      <c r="E9" s="9"/>
      <c r="F9" s="9" t="s">
        <v>84</v>
      </c>
      <c r="G9" s="72">
        <f>খরচ!$Y$6</f>
        <v>52000</v>
      </c>
      <c r="H9" s="71">
        <f t="shared" ref="H9" si="2">SUMIFS(C:C,D:D,F9)</f>
        <v>0</v>
      </c>
      <c r="I9" s="69">
        <f t="shared" si="0"/>
        <v>52000</v>
      </c>
      <c r="L9" s="17"/>
      <c r="M9" s="43"/>
      <c r="P9" s="48"/>
      <c r="Q9" s="49"/>
    </row>
    <row r="10" spans="1:17">
      <c r="A10" s="44">
        <v>7</v>
      </c>
      <c r="B10" s="46" t="s">
        <v>30</v>
      </c>
      <c r="C10" s="75" t="s">
        <v>12</v>
      </c>
      <c r="D10" s="47" t="s">
        <v>49</v>
      </c>
      <c r="E10" s="9" t="s">
        <v>50</v>
      </c>
      <c r="P10" s="48"/>
      <c r="Q10" s="49"/>
    </row>
    <row r="11" spans="1:17" ht="15.75">
      <c r="A11" s="44">
        <v>1</v>
      </c>
      <c r="B11" s="50">
        <v>46121</v>
      </c>
      <c r="C11" s="58">
        <v>50000</v>
      </c>
      <c r="D11" s="68" t="s">
        <v>24</v>
      </c>
      <c r="E11">
        <v>61</v>
      </c>
      <c r="P11" s="48"/>
      <c r="Q11" s="49"/>
    </row>
    <row r="12" spans="1:17" ht="15.75">
      <c r="A12" s="44">
        <v>2</v>
      </c>
      <c r="B12" s="50">
        <v>46124</v>
      </c>
      <c r="C12" s="58">
        <v>50000</v>
      </c>
      <c r="D12" s="68" t="s">
        <v>27</v>
      </c>
      <c r="E12">
        <v>65</v>
      </c>
      <c r="P12" s="48"/>
      <c r="Q12" s="49"/>
    </row>
    <row r="13" spans="1:17">
      <c r="A13" s="44">
        <v>3</v>
      </c>
      <c r="B13" s="50"/>
      <c r="D13" s="9"/>
      <c r="P13" s="48"/>
      <c r="Q13" s="49"/>
    </row>
    <row r="14" spans="1:17">
      <c r="A14" s="44">
        <v>4</v>
      </c>
      <c r="B14" s="50"/>
      <c r="D14" s="9"/>
      <c r="P14" s="48"/>
      <c r="Q14" s="49"/>
    </row>
    <row r="15" spans="1:17">
      <c r="A15" s="44">
        <v>5</v>
      </c>
      <c r="B15" s="50"/>
      <c r="D15" s="17"/>
      <c r="I15" t="s">
        <v>52</v>
      </c>
      <c r="J15" s="15"/>
    </row>
    <row r="16" spans="1:17">
      <c r="A16" s="44">
        <v>6</v>
      </c>
      <c r="B16" s="50"/>
      <c r="D16" s="17"/>
    </row>
    <row r="17" spans="1:15">
      <c r="A17" s="44">
        <v>7</v>
      </c>
      <c r="B17" s="50"/>
      <c r="D17" s="9"/>
    </row>
    <row r="18" spans="1:15">
      <c r="A18" s="44">
        <v>8</v>
      </c>
      <c r="N18" s="54"/>
      <c r="O18" s="9"/>
    </row>
    <row r="19" spans="1:15">
      <c r="A19" s="44">
        <v>9</v>
      </c>
      <c r="D19" s="9"/>
      <c r="F19" t="s">
        <v>52</v>
      </c>
      <c r="N19" s="54"/>
      <c r="O19" s="9"/>
    </row>
    <row r="20" spans="1:15">
      <c r="A20" s="44">
        <v>10</v>
      </c>
      <c r="D20" s="9"/>
      <c r="N20" s="55"/>
      <c r="O20" s="9"/>
    </row>
    <row r="21" spans="1:15">
      <c r="A21" s="44">
        <v>11</v>
      </c>
      <c r="D21" s="9"/>
      <c r="N21" s="54"/>
      <c r="O21" s="9"/>
    </row>
    <row r="22" spans="1:15">
      <c r="A22" s="44">
        <v>12</v>
      </c>
      <c r="D22" s="9"/>
      <c r="J22" s="15"/>
      <c r="N22" s="54"/>
      <c r="O22" s="17"/>
    </row>
    <row r="23" spans="1:15">
      <c r="A23" s="44">
        <v>13</v>
      </c>
      <c r="D23" s="17"/>
      <c r="N23" s="54"/>
      <c r="O23" s="9"/>
    </row>
    <row r="24" spans="1:15">
      <c r="A24" s="44">
        <v>14</v>
      </c>
      <c r="D24" s="17"/>
      <c r="J24" s="15"/>
      <c r="N24" s="55"/>
      <c r="O24" s="9"/>
    </row>
    <row r="25" spans="1:15">
      <c r="A25" s="44">
        <v>15</v>
      </c>
      <c r="D25" s="9"/>
      <c r="J25" s="15"/>
      <c r="N25" s="53"/>
      <c r="O25" s="17"/>
    </row>
    <row r="26" spans="1:15">
      <c r="A26" s="44">
        <v>16</v>
      </c>
      <c r="N26" s="56"/>
      <c r="O26" s="9"/>
    </row>
    <row r="27" spans="1:15">
      <c r="A27" s="44">
        <v>17</v>
      </c>
      <c r="D27" s="9"/>
      <c r="N27" s="7"/>
      <c r="O27" s="9"/>
    </row>
    <row r="28" spans="1:15">
      <c r="A28" s="44">
        <v>18</v>
      </c>
      <c r="D28" s="9"/>
      <c r="J28" s="15"/>
      <c r="N28" s="56"/>
      <c r="O28" s="9"/>
    </row>
    <row r="29" spans="1:15">
      <c r="A29" s="44">
        <v>19</v>
      </c>
      <c r="D29" s="9"/>
      <c r="N29" s="49"/>
      <c r="O29" s="17"/>
    </row>
    <row r="30" spans="1:15">
      <c r="A30" s="44">
        <v>20</v>
      </c>
      <c r="J30" s="15"/>
      <c r="N30" s="49"/>
      <c r="O30" s="9"/>
    </row>
    <row r="31" spans="1:15">
      <c r="A31" s="44">
        <v>21</v>
      </c>
      <c r="N31" s="57"/>
      <c r="O31" s="9"/>
    </row>
    <row r="32" spans="1:15">
      <c r="A32" s="44">
        <v>22</v>
      </c>
      <c r="J32" s="15"/>
      <c r="N32" s="49"/>
      <c r="O32" s="17"/>
    </row>
    <row r="33" spans="1:15">
      <c r="A33" s="44">
        <v>23</v>
      </c>
      <c r="N33" s="57"/>
      <c r="O33" s="9"/>
    </row>
    <row r="34" spans="1:15">
      <c r="A34" s="44">
        <v>24</v>
      </c>
      <c r="J34" s="15"/>
      <c r="N34" s="7"/>
      <c r="O34" s="9"/>
    </row>
    <row r="35" spans="1:15">
      <c r="A35" s="44">
        <v>25</v>
      </c>
      <c r="N35" s="49"/>
      <c r="O35" s="9"/>
    </row>
    <row r="36" spans="1:15">
      <c r="A36" s="44">
        <v>26</v>
      </c>
      <c r="N36" s="57"/>
      <c r="O36" s="17"/>
    </row>
    <row r="37" spans="1:15">
      <c r="A37" s="44">
        <v>27</v>
      </c>
      <c r="N37" s="49"/>
      <c r="O37" s="9"/>
    </row>
    <row r="38" spans="1:15">
      <c r="A38" s="44">
        <v>28</v>
      </c>
      <c r="N38" s="49"/>
      <c r="O38" s="17"/>
    </row>
    <row r="39" spans="1:15">
      <c r="A39" s="44">
        <v>29</v>
      </c>
      <c r="O39" s="9"/>
    </row>
    <row r="40" spans="1:15">
      <c r="A40" s="44">
        <v>30</v>
      </c>
      <c r="O40" s="9"/>
    </row>
    <row r="41" spans="1:15">
      <c r="A41" s="44">
        <v>31</v>
      </c>
      <c r="O41" s="17"/>
    </row>
    <row r="42" spans="1:15">
      <c r="A42" s="44">
        <v>32</v>
      </c>
    </row>
    <row r="43" spans="1:15">
      <c r="A43" s="44">
        <v>33</v>
      </c>
    </row>
    <row r="44" spans="1:15">
      <c r="A44" s="44">
        <v>34</v>
      </c>
    </row>
    <row r="45" spans="1:15">
      <c r="A45" s="44">
        <v>35</v>
      </c>
    </row>
    <row r="46" spans="1:15">
      <c r="A46" s="44">
        <v>36</v>
      </c>
    </row>
    <row r="47" spans="1:15">
      <c r="A47" s="44">
        <v>37</v>
      </c>
    </row>
    <row r="48" spans="1:15">
      <c r="A48" s="44">
        <v>38</v>
      </c>
    </row>
    <row r="49" spans="1:1">
      <c r="A49" s="44">
        <v>39</v>
      </c>
    </row>
    <row r="50" spans="1:1">
      <c r="A50" s="44">
        <v>40</v>
      </c>
    </row>
    <row r="51" spans="1:1">
      <c r="A51" s="44">
        <v>41</v>
      </c>
    </row>
    <row r="52" spans="1:1">
      <c r="A52" s="44">
        <v>42</v>
      </c>
    </row>
    <row r="53" spans="1:1">
      <c r="A53" s="44">
        <v>43</v>
      </c>
    </row>
    <row r="54" spans="1:1">
      <c r="A54" s="44">
        <v>44</v>
      </c>
    </row>
    <row r="55" spans="1:1">
      <c r="A55" s="44">
        <v>45</v>
      </c>
    </row>
    <row r="56" spans="1:1">
      <c r="A56" s="44">
        <v>46</v>
      </c>
    </row>
    <row r="57" spans="1:1">
      <c r="A57" s="44">
        <v>47</v>
      </c>
    </row>
    <row r="58" spans="1:1">
      <c r="A58" s="44">
        <v>48</v>
      </c>
    </row>
    <row r="59" spans="1:1">
      <c r="A59" s="44">
        <v>49</v>
      </c>
    </row>
    <row r="60" spans="1:1">
      <c r="A60" s="44">
        <v>50</v>
      </c>
    </row>
    <row r="61" spans="1:1">
      <c r="A61" s="44">
        <v>51</v>
      </c>
    </row>
    <row r="62" spans="1:1">
      <c r="A62" s="44">
        <v>52</v>
      </c>
    </row>
    <row r="63" spans="1:1">
      <c r="A63" s="44">
        <v>53</v>
      </c>
    </row>
    <row r="64" spans="1:1">
      <c r="A64" s="44">
        <v>54</v>
      </c>
    </row>
    <row r="65" spans="1:1">
      <c r="A65" s="44">
        <v>55</v>
      </c>
    </row>
    <row r="66" spans="1:1">
      <c r="A66" s="44">
        <v>56</v>
      </c>
    </row>
    <row r="67" spans="1:1">
      <c r="A67" s="44">
        <v>57</v>
      </c>
    </row>
    <row r="68" spans="1:1">
      <c r="A68" s="44">
        <v>58</v>
      </c>
    </row>
    <row r="69" spans="1:1">
      <c r="A69" s="44">
        <v>59</v>
      </c>
    </row>
    <row r="70" spans="1:1">
      <c r="A70" s="44">
        <v>60</v>
      </c>
    </row>
    <row r="71" spans="1:1">
      <c r="A71" s="44">
        <v>61</v>
      </c>
    </row>
    <row r="72" spans="1:1">
      <c r="A72" s="44">
        <v>62</v>
      </c>
    </row>
    <row r="73" spans="1:1">
      <c r="A73" s="44">
        <v>63</v>
      </c>
    </row>
    <row r="74" spans="1:1">
      <c r="A74" s="44">
        <v>64</v>
      </c>
    </row>
    <row r="75" spans="1:1">
      <c r="A75" s="44">
        <v>65</v>
      </c>
    </row>
    <row r="76" spans="1:1">
      <c r="A76" s="44">
        <v>66</v>
      </c>
    </row>
    <row r="77" spans="1:1">
      <c r="A77" s="44">
        <v>67</v>
      </c>
    </row>
    <row r="78" spans="1:1">
      <c r="A78" s="44">
        <v>68</v>
      </c>
    </row>
    <row r="79" spans="1:1">
      <c r="A79" s="44">
        <v>69</v>
      </c>
    </row>
    <row r="80" spans="1:1">
      <c r="A80" s="44">
        <v>70</v>
      </c>
    </row>
    <row r="81" spans="1:1">
      <c r="A81" s="44">
        <v>71</v>
      </c>
    </row>
    <row r="82" spans="1:1">
      <c r="A82" s="44">
        <v>72</v>
      </c>
    </row>
    <row r="83" spans="1:1">
      <c r="A83" s="44">
        <v>73</v>
      </c>
    </row>
    <row r="84" spans="1:1">
      <c r="A84" s="44">
        <v>74</v>
      </c>
    </row>
    <row r="85" spans="1:1">
      <c r="A85" s="44">
        <v>75</v>
      </c>
    </row>
    <row r="86" spans="1:1">
      <c r="A86" s="44">
        <v>76</v>
      </c>
    </row>
    <row r="87" spans="1:1">
      <c r="A87" s="44">
        <v>77</v>
      </c>
    </row>
    <row r="88" spans="1:1">
      <c r="A88" s="44">
        <v>78</v>
      </c>
    </row>
    <row r="89" spans="1:1">
      <c r="A89" s="44">
        <v>79</v>
      </c>
    </row>
    <row r="90" spans="1:1">
      <c r="A90" s="44">
        <v>80</v>
      </c>
    </row>
    <row r="91" spans="1:1">
      <c r="A91" s="44">
        <v>81</v>
      </c>
    </row>
    <row r="92" spans="1:1">
      <c r="A92" s="44">
        <v>82</v>
      </c>
    </row>
    <row r="93" spans="1:1">
      <c r="A93" s="44">
        <v>83</v>
      </c>
    </row>
    <row r="94" spans="1:1">
      <c r="A94" s="44">
        <v>84</v>
      </c>
    </row>
    <row r="95" spans="1:1">
      <c r="A95" s="44">
        <v>85</v>
      </c>
    </row>
    <row r="96" spans="1:1">
      <c r="A96" s="44">
        <v>86</v>
      </c>
    </row>
    <row r="97" spans="1:1">
      <c r="A97" s="44">
        <v>87</v>
      </c>
    </row>
    <row r="98" spans="1:1">
      <c r="A98" s="44">
        <v>88</v>
      </c>
    </row>
    <row r="99" spans="1:1">
      <c r="A99" s="44">
        <v>89</v>
      </c>
    </row>
    <row r="100" spans="1:1">
      <c r="A100" s="44">
        <v>90</v>
      </c>
    </row>
    <row r="101" spans="1:1">
      <c r="A101" s="44">
        <v>91</v>
      </c>
    </row>
    <row r="102" spans="1:1">
      <c r="A102" s="44">
        <v>92</v>
      </c>
    </row>
    <row r="103" spans="1:1">
      <c r="A103" s="44">
        <v>93</v>
      </c>
    </row>
    <row r="104" spans="1:1">
      <c r="A104" s="44">
        <v>94</v>
      </c>
    </row>
    <row r="105" spans="1:1">
      <c r="A105" s="44">
        <v>95</v>
      </c>
    </row>
    <row r="106" spans="1:1">
      <c r="A106" s="44">
        <v>96</v>
      </c>
    </row>
    <row r="107" spans="1:1">
      <c r="A107" s="44">
        <v>97</v>
      </c>
    </row>
    <row r="108" spans="1:1">
      <c r="A108" s="44">
        <v>98</v>
      </c>
    </row>
    <row r="109" spans="1:1">
      <c r="A109" s="44">
        <v>99</v>
      </c>
    </row>
    <row r="110" spans="1:1">
      <c r="A110" s="44">
        <v>100</v>
      </c>
    </row>
    <row r="111" spans="1:1">
      <c r="A111" s="44">
        <v>101</v>
      </c>
    </row>
    <row r="112" spans="1:1">
      <c r="A112" s="44">
        <v>102</v>
      </c>
    </row>
    <row r="113" spans="1:1">
      <c r="A113" s="44">
        <v>103</v>
      </c>
    </row>
    <row r="114" spans="1:1">
      <c r="A114" s="44">
        <v>104</v>
      </c>
    </row>
    <row r="115" spans="1:1">
      <c r="A115" s="44">
        <v>105</v>
      </c>
    </row>
    <row r="116" spans="1:1">
      <c r="A116" s="44">
        <v>106</v>
      </c>
    </row>
    <row r="117" spans="1:1">
      <c r="A117" s="44">
        <v>107</v>
      </c>
    </row>
    <row r="118" spans="1:1">
      <c r="A118" s="44">
        <v>108</v>
      </c>
    </row>
    <row r="119" spans="1:1">
      <c r="A119" s="44">
        <v>109</v>
      </c>
    </row>
    <row r="120" spans="1:1">
      <c r="A120" s="44">
        <v>110</v>
      </c>
    </row>
    <row r="121" spans="1:1">
      <c r="A121" s="44">
        <v>111</v>
      </c>
    </row>
    <row r="122" spans="1:1">
      <c r="A122" s="44">
        <v>112</v>
      </c>
    </row>
    <row r="123" spans="1:1">
      <c r="A123" s="44">
        <v>113</v>
      </c>
    </row>
    <row r="124" spans="1:1">
      <c r="A124" s="44">
        <v>114</v>
      </c>
    </row>
    <row r="125" spans="1:1">
      <c r="A125" s="44">
        <v>115</v>
      </c>
    </row>
    <row r="126" spans="1:1">
      <c r="A126" s="44">
        <v>116</v>
      </c>
    </row>
    <row r="127" spans="1:1">
      <c r="A127" s="44">
        <v>117</v>
      </c>
    </row>
    <row r="128" spans="1:1">
      <c r="A128" s="44">
        <v>118</v>
      </c>
    </row>
    <row r="129" spans="1:1">
      <c r="A129" s="44">
        <v>119</v>
      </c>
    </row>
    <row r="130" spans="1:1">
      <c r="A130" s="44">
        <v>120</v>
      </c>
    </row>
    <row r="131" spans="1:1">
      <c r="A131" s="44">
        <v>121</v>
      </c>
    </row>
    <row r="132" spans="1:1">
      <c r="A132" s="44">
        <v>122</v>
      </c>
    </row>
    <row r="133" spans="1:1">
      <c r="A133" s="44">
        <v>123</v>
      </c>
    </row>
    <row r="134" spans="1:1">
      <c r="A134" s="44">
        <v>124</v>
      </c>
    </row>
    <row r="135" spans="1:1">
      <c r="A135" s="44">
        <v>125</v>
      </c>
    </row>
    <row r="136" spans="1:1">
      <c r="A136" s="44">
        <v>126</v>
      </c>
    </row>
    <row r="137" spans="1:1">
      <c r="A137" s="44">
        <v>127</v>
      </c>
    </row>
    <row r="138" spans="1:1">
      <c r="A138" s="44">
        <v>128</v>
      </c>
    </row>
    <row r="139" spans="1:1">
      <c r="A139" s="44">
        <v>129</v>
      </c>
    </row>
    <row r="140" spans="1:1">
      <c r="A140" s="44">
        <v>130</v>
      </c>
    </row>
    <row r="141" spans="1:1">
      <c r="A141" s="44">
        <v>131</v>
      </c>
    </row>
    <row r="142" spans="1:1">
      <c r="A142" s="44">
        <v>132</v>
      </c>
    </row>
    <row r="143" spans="1:1">
      <c r="A143" s="44">
        <v>133</v>
      </c>
    </row>
    <row r="144" spans="1:1">
      <c r="A144" s="44">
        <v>134</v>
      </c>
    </row>
    <row r="145" spans="1:1">
      <c r="A145" s="44">
        <v>135</v>
      </c>
    </row>
    <row r="146" spans="1:1">
      <c r="A146" s="44">
        <v>136</v>
      </c>
    </row>
    <row r="147" spans="1:1">
      <c r="A147" s="44">
        <v>137</v>
      </c>
    </row>
    <row r="148" spans="1:1">
      <c r="A148" s="44">
        <v>138</v>
      </c>
    </row>
    <row r="149" spans="1:1">
      <c r="A149" s="44">
        <v>139</v>
      </c>
    </row>
    <row r="150" spans="1:1">
      <c r="A150" s="44">
        <v>140</v>
      </c>
    </row>
    <row r="151" spans="1:1">
      <c r="A151" s="44">
        <v>141</v>
      </c>
    </row>
    <row r="152" spans="1:1">
      <c r="A152" s="44">
        <v>142</v>
      </c>
    </row>
    <row r="153" spans="1:1">
      <c r="A153" s="44">
        <v>143</v>
      </c>
    </row>
    <row r="154" spans="1:1">
      <c r="A154" s="44">
        <v>144</v>
      </c>
    </row>
    <row r="155" spans="1:1">
      <c r="A155" s="44">
        <v>145</v>
      </c>
    </row>
    <row r="156" spans="1:1">
      <c r="A156" s="44">
        <v>146</v>
      </c>
    </row>
    <row r="157" spans="1:1">
      <c r="A157" s="44">
        <v>147</v>
      </c>
    </row>
    <row r="158" spans="1:1">
      <c r="A158" s="44">
        <v>148</v>
      </c>
    </row>
    <row r="159" spans="1:1">
      <c r="A159" s="44">
        <v>149</v>
      </c>
    </row>
    <row r="160" spans="1:1">
      <c r="A160" s="44">
        <v>150</v>
      </c>
    </row>
    <row r="161" spans="1:1">
      <c r="A161" s="44">
        <v>151</v>
      </c>
    </row>
    <row r="162" spans="1:1">
      <c r="A162" s="44">
        <v>152</v>
      </c>
    </row>
    <row r="163" spans="1:1">
      <c r="A163" s="44">
        <v>153</v>
      </c>
    </row>
    <row r="164" spans="1:1">
      <c r="A164" s="44">
        <v>154</v>
      </c>
    </row>
    <row r="165" spans="1:1">
      <c r="A165" s="44">
        <v>155</v>
      </c>
    </row>
    <row r="166" spans="1:1">
      <c r="A166" s="44">
        <v>156</v>
      </c>
    </row>
    <row r="167" spans="1:1">
      <c r="A167" s="44">
        <v>157</v>
      </c>
    </row>
    <row r="168" spans="1:1">
      <c r="A168" s="44">
        <v>158</v>
      </c>
    </row>
    <row r="169" spans="1:1">
      <c r="A169" s="44">
        <v>159</v>
      </c>
    </row>
    <row r="170" spans="1:1">
      <c r="A170" s="44">
        <v>160</v>
      </c>
    </row>
    <row r="171" spans="1:1">
      <c r="A171" s="44">
        <v>161</v>
      </c>
    </row>
    <row r="172" spans="1:1">
      <c r="A172" s="44">
        <v>162</v>
      </c>
    </row>
    <row r="173" spans="1:1">
      <c r="A173" s="44">
        <v>163</v>
      </c>
    </row>
    <row r="174" spans="1:1">
      <c r="A174" s="44">
        <v>164</v>
      </c>
    </row>
    <row r="175" spans="1:1">
      <c r="A175" s="44">
        <v>165</v>
      </c>
    </row>
    <row r="176" spans="1:1">
      <c r="A176" s="44">
        <v>166</v>
      </c>
    </row>
    <row r="177" spans="1:1">
      <c r="A177" s="44">
        <v>167</v>
      </c>
    </row>
    <row r="178" spans="1:1">
      <c r="A178" s="44">
        <v>168</v>
      </c>
    </row>
    <row r="179" spans="1:1">
      <c r="A179" s="44">
        <v>169</v>
      </c>
    </row>
    <row r="180" spans="1:1">
      <c r="A180" s="44">
        <v>170</v>
      </c>
    </row>
    <row r="181" spans="1:1">
      <c r="A181" s="44">
        <v>171</v>
      </c>
    </row>
    <row r="182" spans="1:1">
      <c r="A182" s="44">
        <v>172</v>
      </c>
    </row>
    <row r="183" spans="1:1">
      <c r="A183" s="44">
        <v>173</v>
      </c>
    </row>
    <row r="184" spans="1:1">
      <c r="A184" s="44">
        <v>174</v>
      </c>
    </row>
    <row r="185" spans="1:1">
      <c r="A185" s="44">
        <v>175</v>
      </c>
    </row>
    <row r="186" spans="1:1">
      <c r="A186" s="44">
        <v>176</v>
      </c>
    </row>
    <row r="187" spans="1:1">
      <c r="A187" s="44">
        <v>177</v>
      </c>
    </row>
    <row r="188" spans="1:1">
      <c r="A188" s="44">
        <v>178</v>
      </c>
    </row>
    <row r="189" spans="1:1">
      <c r="A189" s="44">
        <v>179</v>
      </c>
    </row>
    <row r="190" spans="1:1">
      <c r="A190" s="44">
        <v>180</v>
      </c>
    </row>
    <row r="191" spans="1:1">
      <c r="A191" s="44">
        <v>181</v>
      </c>
    </row>
    <row r="192" spans="1:1">
      <c r="A192" s="44">
        <v>182</v>
      </c>
    </row>
    <row r="193" spans="1:1">
      <c r="A193" s="44">
        <v>183</v>
      </c>
    </row>
    <row r="194" spans="1:1">
      <c r="A194" s="44">
        <v>184</v>
      </c>
    </row>
    <row r="195" spans="1:1">
      <c r="A195" s="44">
        <v>185</v>
      </c>
    </row>
    <row r="196" spans="1:1">
      <c r="A196" s="44">
        <v>186</v>
      </c>
    </row>
    <row r="197" spans="1:1">
      <c r="A197" s="44">
        <v>187</v>
      </c>
    </row>
    <row r="198" spans="1:1">
      <c r="A198" s="44">
        <v>188</v>
      </c>
    </row>
    <row r="199" spans="1:1">
      <c r="A199" s="44">
        <v>189</v>
      </c>
    </row>
    <row r="200" spans="1:1">
      <c r="A200" s="44">
        <v>190</v>
      </c>
    </row>
    <row r="201" spans="1:1">
      <c r="A201" s="44">
        <v>191</v>
      </c>
    </row>
    <row r="202" spans="1:1">
      <c r="A202" s="44">
        <v>192</v>
      </c>
    </row>
    <row r="203" spans="1:1">
      <c r="A203" s="44">
        <v>193</v>
      </c>
    </row>
    <row r="204" spans="1:1">
      <c r="A204" s="44">
        <v>194</v>
      </c>
    </row>
    <row r="205" spans="1:1">
      <c r="A205" s="44">
        <v>195</v>
      </c>
    </row>
    <row r="206" spans="1:1">
      <c r="A206" s="44">
        <v>196</v>
      </c>
    </row>
    <row r="207" spans="1:1">
      <c r="A207" s="44">
        <v>197</v>
      </c>
    </row>
    <row r="208" spans="1:1">
      <c r="A208" s="44">
        <v>198</v>
      </c>
    </row>
    <row r="209" spans="1:1">
      <c r="A209" s="44">
        <v>199</v>
      </c>
    </row>
    <row r="210" spans="1:1">
      <c r="A210" s="44">
        <v>200</v>
      </c>
    </row>
    <row r="211" spans="1:1">
      <c r="A211" s="44">
        <v>201</v>
      </c>
    </row>
    <row r="212" spans="1:1">
      <c r="A212" s="44">
        <v>202</v>
      </c>
    </row>
    <row r="213" spans="1:1">
      <c r="A213" s="44">
        <v>203</v>
      </c>
    </row>
    <row r="214" spans="1:1">
      <c r="A214" s="44">
        <v>204</v>
      </c>
    </row>
    <row r="215" spans="1:1">
      <c r="A215" s="44">
        <v>205</v>
      </c>
    </row>
    <row r="216" spans="1:1">
      <c r="A216" s="44">
        <v>206</v>
      </c>
    </row>
    <row r="217" spans="1:1">
      <c r="A217" s="44">
        <v>207</v>
      </c>
    </row>
    <row r="218" spans="1:1">
      <c r="A218" s="44">
        <v>208</v>
      </c>
    </row>
    <row r="219" spans="1:1">
      <c r="A219" s="44">
        <v>209</v>
      </c>
    </row>
    <row r="220" spans="1:1">
      <c r="A220" s="44">
        <v>210</v>
      </c>
    </row>
    <row r="221" spans="1:1">
      <c r="A221" s="44">
        <v>211</v>
      </c>
    </row>
    <row r="222" spans="1:1">
      <c r="A222" s="44">
        <v>212</v>
      </c>
    </row>
    <row r="223" spans="1:1">
      <c r="A223" s="44">
        <v>213</v>
      </c>
    </row>
    <row r="224" spans="1:1">
      <c r="A224" s="44">
        <v>214</v>
      </c>
    </row>
    <row r="225" spans="1:1">
      <c r="A225" s="44">
        <v>215</v>
      </c>
    </row>
    <row r="226" spans="1:1">
      <c r="A226" s="44">
        <v>216</v>
      </c>
    </row>
    <row r="227" spans="1:1">
      <c r="A227" s="44">
        <v>217</v>
      </c>
    </row>
    <row r="228" spans="1:1">
      <c r="A228" s="44">
        <v>218</v>
      </c>
    </row>
    <row r="229" spans="1:1">
      <c r="A229" s="44">
        <v>219</v>
      </c>
    </row>
    <row r="230" spans="1:1">
      <c r="A230" s="44">
        <v>220</v>
      </c>
    </row>
  </sheetData>
  <mergeCells count="3">
    <mergeCell ref="L2:M2"/>
    <mergeCell ref="L1:M1"/>
    <mergeCell ref="B1:D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অর্থ গ্রহন</vt:lpstr>
      <vt:lpstr>খরচ</vt:lpstr>
      <vt:lpstr>বকেয়া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madrasatul madinah</dc:creator>
  <cp:lastModifiedBy>sa sa</cp:lastModifiedBy>
  <dcterms:created xsi:type="dcterms:W3CDTF">2026-04-03T01:05:34Z</dcterms:created>
  <dcterms:modified xsi:type="dcterms:W3CDTF">2026-04-28T09:47:30Z</dcterms:modified>
</cp:coreProperties>
</file>