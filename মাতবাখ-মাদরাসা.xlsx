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11-idarah\"/>
    </mc:Choice>
  </mc:AlternateContent>
  <xr:revisionPtr revIDLastSave="0" documentId="8_{02A31CC4-1BD3-4A9F-B10D-C38B466432BB}" xr6:coauthVersionLast="47" xr6:coauthVersionMax="47" xr10:uidLastSave="{00000000-0000-0000-0000-000000000000}"/>
  <bookViews>
    <workbookView xWindow="-120" yWindow="-120" windowWidth="29040" windowHeight="15720" xr2:uid="{5B9B3438-AC2A-43BD-9F7F-E2DCEDFF52AE}"/>
  </bookViews>
  <sheets>
    <sheet name="অর্থ গ্রহণ" sheetId="1" r:id="rId1"/>
    <sheet name="মাতবাখ" sheetId="2" r:id="rId2"/>
    <sheet name="মাদরাসা" sheetId="3" r:id="rId3"/>
    <sheet name="বাকির হিসাব" sheetId="4" r:id="rId4"/>
    <sheet name="ড্যাশবোর্ড" sheetId="5" r:id="rId5"/>
  </sheets>
  <externalReferences>
    <externalReference r:id="rId6"/>
    <externalReference r:id="rId7"/>
    <externalReference r:id="rId8"/>
  </externalReferences>
  <definedNames>
    <definedName name="_xlnm._FilterDatabase" localSheetId="0" hidden="1">'অর্থ গ্রহণ'!$B$8:$D$56</definedName>
    <definedName name="_xlnm._FilterDatabase" localSheetId="3" hidden="1">'বাকির হিসাব'!$A$10:$D$61</definedName>
    <definedName name="_xlnm._FilterDatabase" localSheetId="1" hidden="1">মাতবাখ!$A$5:$I$317</definedName>
    <definedName name="_xlnm._FilterDatabase" localSheetId="2" hidden="1">মাদরাসা!$A$6:$J$319</definedName>
    <definedName name="খাত">'[1]drop down'!$B$2:$B$5</definedName>
    <definedName name="সস">'[3]drop down'!$C$2:$C$8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5" l="1"/>
  <c r="E18" i="5"/>
  <c r="E17" i="5"/>
  <c r="E20" i="5" s="1"/>
  <c r="L16" i="5"/>
  <c r="L12" i="5"/>
  <c r="L14" i="5" s="1"/>
  <c r="L10" i="5"/>
  <c r="L8" i="5"/>
  <c r="L7" i="5"/>
  <c r="L5" i="5"/>
  <c r="G9" i="4"/>
  <c r="G8" i="4"/>
  <c r="F8" i="4"/>
  <c r="H8" i="4" s="1"/>
  <c r="G7" i="4"/>
  <c r="F7" i="4"/>
  <c r="H7" i="4" s="1"/>
  <c r="G6" i="4"/>
  <c r="F6" i="4"/>
  <c r="H6" i="4" s="1"/>
  <c r="G5" i="4"/>
  <c r="H5" i="4" s="1"/>
  <c r="F5" i="4"/>
  <c r="G4" i="4"/>
  <c r="G3" i="4"/>
  <c r="G2" i="4"/>
  <c r="H299" i="3"/>
  <c r="H298" i="3"/>
  <c r="H297" i="3"/>
  <c r="H296" i="3"/>
  <c r="H291" i="3"/>
  <c r="K2" i="3" s="1"/>
  <c r="H259" i="3"/>
  <c r="H258" i="3"/>
  <c r="H253" i="3"/>
  <c r="H252" i="3"/>
  <c r="H251" i="3"/>
  <c r="H243" i="3"/>
  <c r="H242" i="3"/>
  <c r="H241" i="3"/>
  <c r="H240" i="3"/>
  <c r="H239" i="3"/>
  <c r="H238" i="3"/>
  <c r="H237" i="3"/>
  <c r="H236" i="3"/>
  <c r="H232" i="3"/>
  <c r="H230" i="3"/>
  <c r="H229" i="3"/>
  <c r="H228" i="3"/>
  <c r="H227" i="3"/>
  <c r="H226" i="3"/>
  <c r="H216" i="3"/>
  <c r="H215" i="3"/>
  <c r="H213" i="3"/>
  <c r="H211" i="3"/>
  <c r="H209" i="3"/>
  <c r="H208" i="3"/>
  <c r="H207" i="3"/>
  <c r="H204" i="3"/>
  <c r="G186" i="3"/>
  <c r="G185" i="3"/>
  <c r="H182" i="3"/>
  <c r="H180" i="3"/>
  <c r="H178" i="3"/>
  <c r="H163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39" i="3"/>
  <c r="H138" i="3"/>
  <c r="H137" i="3"/>
  <c r="H136" i="3"/>
  <c r="H135" i="3"/>
  <c r="H134" i="3"/>
  <c r="H133" i="3"/>
  <c r="H130" i="3"/>
  <c r="H129" i="3"/>
  <c r="H128" i="3"/>
  <c r="H127" i="3"/>
  <c r="H125" i="3"/>
  <c r="H116" i="3"/>
  <c r="H106" i="3"/>
  <c r="H102" i="3"/>
  <c r="H101" i="3"/>
  <c r="H92" i="3"/>
  <c r="H91" i="3"/>
  <c r="H90" i="3"/>
  <c r="H89" i="3"/>
  <c r="H88" i="3"/>
  <c r="H87" i="3"/>
  <c r="H86" i="3"/>
  <c r="H85" i="3"/>
  <c r="H83" i="3"/>
  <c r="H82" i="3"/>
  <c r="H81" i="3"/>
  <c r="H80" i="3"/>
  <c r="H79" i="3"/>
  <c r="H78" i="3"/>
  <c r="H74" i="3"/>
  <c r="H57" i="3"/>
  <c r="H43" i="3"/>
  <c r="H30" i="3"/>
  <c r="H29" i="3"/>
  <c r="H16" i="3"/>
  <c r="H15" i="3"/>
  <c r="H14" i="3"/>
  <c r="H13" i="3"/>
  <c r="H12" i="3"/>
  <c r="H11" i="3"/>
  <c r="H10" i="3"/>
  <c r="J2" i="3" s="1"/>
  <c r="H9" i="3"/>
  <c r="H8" i="3"/>
  <c r="H7" i="3"/>
  <c r="O4" i="3"/>
  <c r="N4" i="3"/>
  <c r="M4" i="3"/>
  <c r="L4" i="3"/>
  <c r="K4" i="3"/>
  <c r="N5" i="1" s="1"/>
  <c r="J4" i="3"/>
  <c r="O2" i="3"/>
  <c r="N2" i="3"/>
  <c r="M2" i="3"/>
  <c r="L2" i="3"/>
  <c r="G317" i="2"/>
  <c r="G316" i="2"/>
  <c r="G315" i="2"/>
  <c r="G314" i="2"/>
  <c r="G313" i="2"/>
  <c r="G312" i="2"/>
  <c r="G311" i="2"/>
  <c r="G310" i="2"/>
  <c r="G309" i="2"/>
  <c r="G308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2" i="2"/>
  <c r="G211" i="2"/>
  <c r="G210" i="2"/>
  <c r="G209" i="2"/>
  <c r="H208" i="2"/>
  <c r="H207" i="2"/>
  <c r="H206" i="2"/>
  <c r="H205" i="2"/>
  <c r="H204" i="2"/>
  <c r="H203" i="2"/>
  <c r="H202" i="2"/>
  <c r="F9" i="4" s="1"/>
  <c r="H9" i="4" s="1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O4" i="2"/>
  <c r="N4" i="2"/>
  <c r="M4" i="2"/>
  <c r="L4" i="2"/>
  <c r="K4" i="2"/>
  <c r="J4" i="2"/>
  <c r="X3" i="2"/>
  <c r="V3" i="2"/>
  <c r="S3" i="2"/>
  <c r="X2" i="2"/>
  <c r="W2" i="2"/>
  <c r="V2" i="2"/>
  <c r="U2" i="2"/>
  <c r="F4" i="4" s="1"/>
  <c r="H4" i="4" s="1"/>
  <c r="T2" i="2"/>
  <c r="F3" i="4" s="1"/>
  <c r="H3" i="4" s="1"/>
  <c r="S2" i="2"/>
  <c r="F2" i="4" s="1"/>
  <c r="H2" i="4" s="1"/>
  <c r="O2" i="2"/>
  <c r="R2" i="1" s="1"/>
  <c r="N2" i="2"/>
  <c r="M2" i="2"/>
  <c r="L2" i="2"/>
  <c r="O2" i="1" s="1"/>
  <c r="K2" i="2"/>
  <c r="J2" i="2"/>
  <c r="P1" i="2"/>
  <c r="X6" i="1"/>
  <c r="R5" i="1"/>
  <c r="Q5" i="1"/>
  <c r="P5" i="1"/>
  <c r="O5" i="1"/>
  <c r="M5" i="1"/>
  <c r="J5" i="1"/>
  <c r="I3" i="1"/>
  <c r="E5" i="5" s="1"/>
  <c r="S5" i="5" s="1"/>
  <c r="Q2" i="1"/>
  <c r="P2" i="1"/>
  <c r="C1" i="4" l="1"/>
  <c r="M2" i="1"/>
  <c r="N2" i="1"/>
  <c r="L18" i="5"/>
  <c r="J6" i="1"/>
  <c r="E8" i="5" s="1"/>
  <c r="Y2" i="2"/>
  <c r="E7" i="5"/>
  <c r="E14" i="5" l="1"/>
  <c r="X3" i="1"/>
  <c r="J8" i="1"/>
  <c r="E10" i="5" l="1"/>
  <c r="S7" i="5" s="1"/>
  <c r="K4" i="1"/>
  <c r="E12" i="5" l="1"/>
  <c r="X2" i="1"/>
  <c r="X4" i="1" s="1"/>
  <c r="E22" i="5" s="1"/>
  <c r="S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madrasatul madinah</author>
  </authors>
  <commentList>
    <comment ref="E45" authorId="0" shapeId="0" xr:uid="{67188E3C-FF35-43E7-92C8-38389EA98CC4}">
      <text>
        <r>
          <rPr>
            <b/>
            <sz val="9"/>
            <color indexed="81"/>
            <rFont val="Tahoma"/>
          </rPr>
          <t>madrasatul madinah:</t>
        </r>
        <r>
          <rPr>
            <sz val="9"/>
            <color indexed="81"/>
            <rFont val="Tahoma"/>
          </rPr>
          <t xml:space="preserve">
দাখেলার এবং ওয়াযীফার সম্মানী ফেরত</t>
        </r>
      </text>
    </comment>
  </commentList>
</comments>
</file>

<file path=xl/sharedStrings.xml><?xml version="1.0" encoding="utf-8"?>
<sst xmlns="http://schemas.openxmlformats.org/spreadsheetml/2006/main" count="2229" uniqueCount="386">
  <si>
    <t>অর্থ গ্রহণ ১৪৪৭/৪৮ হিজরী</t>
  </si>
  <si>
    <t>শাওয়াল</t>
  </si>
  <si>
    <t>জিলকাদ</t>
  </si>
  <si>
    <t>জিলহাজ</t>
  </si>
  <si>
    <t>মুহাররম</t>
  </si>
  <si>
    <t>সফর</t>
  </si>
  <si>
    <t>রবিউল আঃ</t>
  </si>
  <si>
    <t>মোট অর্থ গ্রহণ</t>
  </si>
  <si>
    <t>মাদরাসা থেকে পাবো</t>
  </si>
  <si>
    <t>বিদ্যমান</t>
  </si>
  <si>
    <t>বিভিন্ন স্থানে বকেয়া</t>
  </si>
  <si>
    <t xml:space="preserve">মোট ব্যয় </t>
  </si>
  <si>
    <t>রবিউস সানী</t>
  </si>
  <si>
    <t>জুমাদাল উলা</t>
  </si>
  <si>
    <t>জুমা:আখেরা</t>
  </si>
  <si>
    <t>রজব</t>
  </si>
  <si>
    <t>শাবান</t>
  </si>
  <si>
    <t>রামাযান</t>
  </si>
  <si>
    <t>দফতরে বিদ্যমান</t>
  </si>
  <si>
    <t>মাতবাখ</t>
  </si>
  <si>
    <t>মাদরাসা</t>
  </si>
  <si>
    <t>বাসার করজ</t>
  </si>
  <si>
    <t>মাস</t>
  </si>
  <si>
    <t>পরিমাণ</t>
  </si>
  <si>
    <t>মন্তব্য</t>
  </si>
  <si>
    <t xml:space="preserve">মোট </t>
  </si>
  <si>
    <t>জিলকদ</t>
  </si>
  <si>
    <t>মাতবাখ ১৪৪৬/৪৭ হিজরী</t>
  </si>
  <si>
    <t>সাগর</t>
  </si>
  <si>
    <t>সততা</t>
  </si>
  <si>
    <t>আল মদিনা</t>
  </si>
  <si>
    <t>লাকড়ি</t>
  </si>
  <si>
    <t>ডিম</t>
  </si>
  <si>
    <t>গ্যাস</t>
  </si>
  <si>
    <t>জমিনের সবজী</t>
  </si>
  <si>
    <t>রবিউল সানিঃ</t>
  </si>
  <si>
    <t>বাসার সামান</t>
  </si>
  <si>
    <t>মাখাবিজ</t>
  </si>
  <si>
    <t>গায়ের বাজার</t>
  </si>
  <si>
    <t>শাখা খাত</t>
  </si>
  <si>
    <t>বিবরণ</t>
  </si>
  <si>
    <t>মূল্য</t>
  </si>
  <si>
    <t>মোট</t>
  </si>
  <si>
    <t>সরবরাহকারী</t>
  </si>
  <si>
    <t xml:space="preserve">রশিদ </t>
  </si>
  <si>
    <t>কাঁচা বাজার</t>
  </si>
  <si>
    <t>পোলাউ চাল</t>
  </si>
  <si>
    <t>বড় বাজার</t>
  </si>
  <si>
    <t>মিনিকেট চাল</t>
  </si>
  <si>
    <t>সয়াবিন তেল</t>
  </si>
  <si>
    <t>খরচ</t>
  </si>
  <si>
    <t>ধনিয়া পাতা</t>
  </si>
  <si>
    <t>ময়দা</t>
  </si>
  <si>
    <t>আলু</t>
  </si>
  <si>
    <t>আদা</t>
  </si>
  <si>
    <t>লাল ডিম</t>
  </si>
  <si>
    <t>লাউ</t>
  </si>
  <si>
    <t>মাছ</t>
  </si>
  <si>
    <t>লবণ</t>
  </si>
  <si>
    <t>ধনিয়া গুড়া</t>
  </si>
  <si>
    <t>ঘি</t>
  </si>
  <si>
    <t>দুধ</t>
  </si>
  <si>
    <t>দারচিনি</t>
  </si>
  <si>
    <t>আলু বোখারা</t>
  </si>
  <si>
    <t>সরিষার তেল</t>
  </si>
  <si>
    <t>মুরগী</t>
  </si>
  <si>
    <t>পেয়াজ</t>
  </si>
  <si>
    <t>রসুন</t>
  </si>
  <si>
    <t>পেপে</t>
  </si>
  <si>
    <t>ভাড়া</t>
  </si>
  <si>
    <t>পোলাউ খুদ</t>
  </si>
  <si>
    <t>পাতা</t>
  </si>
  <si>
    <t>নাজিরশাইল চাল</t>
  </si>
  <si>
    <t>মুসুর ডাল</t>
  </si>
  <si>
    <t>মুগ ডাল</t>
  </si>
  <si>
    <t>পোলাউয়ের চাল</t>
  </si>
  <si>
    <t>গাড়ি ভাড়া+লেভার</t>
  </si>
  <si>
    <t>পোলাউয়ের খুদ</t>
  </si>
  <si>
    <t>ধনিয়াগুড়া</t>
  </si>
  <si>
    <t>জিরা</t>
  </si>
  <si>
    <t>পাঁচফোড়ন</t>
  </si>
  <si>
    <t>হলুদ</t>
  </si>
  <si>
    <t>মরিচ</t>
  </si>
  <si>
    <t>সাদ</t>
  </si>
  <si>
    <t>মাদরাসার খাতায়</t>
  </si>
  <si>
    <t>শশা</t>
  </si>
  <si>
    <t>লেবু</t>
  </si>
  <si>
    <t>চানাচুর/শশা</t>
  </si>
  <si>
    <t>রুটি</t>
  </si>
  <si>
    <t>জাহিদ</t>
  </si>
  <si>
    <t>লেভার</t>
  </si>
  <si>
    <t>কলা</t>
  </si>
  <si>
    <t>পেঁপে</t>
  </si>
  <si>
    <t>বাশার</t>
  </si>
  <si>
    <t>ইসবগুল ভূসি</t>
  </si>
  <si>
    <t>সাদা বুট</t>
  </si>
  <si>
    <t>ছোলা বুট</t>
  </si>
  <si>
    <t xml:space="preserve"> খরচ</t>
  </si>
  <si>
    <t>অর্গানিক ডিম</t>
  </si>
  <si>
    <t>খরচ+লেভার</t>
  </si>
  <si>
    <t>পাউরুটি</t>
  </si>
  <si>
    <t>কেক</t>
  </si>
  <si>
    <t>চিকেনবান</t>
  </si>
  <si>
    <t>চিনি</t>
  </si>
  <si>
    <t>মুড়ি</t>
  </si>
  <si>
    <t>খেজুর</t>
  </si>
  <si>
    <t>পোলাউর চাল</t>
  </si>
  <si>
    <t>কিসমিস</t>
  </si>
  <si>
    <t>টমেটো</t>
  </si>
  <si>
    <t>টক দই</t>
  </si>
  <si>
    <t>আটা</t>
  </si>
  <si>
    <t>জয়ফল</t>
  </si>
  <si>
    <t>জয়ত্রিক</t>
  </si>
  <si>
    <t>হ্যান্ডওয়াশ</t>
  </si>
  <si>
    <t>টিস্যু</t>
  </si>
  <si>
    <t>ডেকের ভাড়া</t>
  </si>
  <si>
    <t>গ্যাস বাবদ</t>
  </si>
  <si>
    <t>আবুল মনসুর</t>
  </si>
  <si>
    <t>ডাল</t>
  </si>
  <si>
    <t>টিন</t>
  </si>
  <si>
    <t>বহন</t>
  </si>
  <si>
    <t>কাঁচা কলা</t>
  </si>
  <si>
    <t>কাঁচা মরিচ</t>
  </si>
  <si>
    <t>বিস্কুট</t>
  </si>
  <si>
    <t xml:space="preserve"> </t>
  </si>
  <si>
    <t>আলূ</t>
  </si>
  <si>
    <t>তেজপাতা</t>
  </si>
  <si>
    <t>মসুর ডাল</t>
  </si>
  <si>
    <t>বুটের ডাল</t>
  </si>
  <si>
    <t>লেভার+ভাড়া</t>
  </si>
  <si>
    <t>শসা</t>
  </si>
  <si>
    <t>চিড়া+দই</t>
  </si>
  <si>
    <t>শুটকি</t>
  </si>
  <si>
    <t>টমেটো+শসা</t>
  </si>
  <si>
    <t>কলা+রুটি</t>
  </si>
  <si>
    <t>গুড়া দুধ</t>
  </si>
  <si>
    <t>কৈই মাছ</t>
  </si>
  <si>
    <t>মাদরাসা ১৪৪৬/৪৭ হিজরী</t>
  </si>
  <si>
    <t>রবিউস সানিঃ</t>
  </si>
  <si>
    <t>রশীদ</t>
  </si>
  <si>
    <t>জাওয়াল সঞ্চয়</t>
  </si>
  <si>
    <t>মকতবের নাস্তা</t>
  </si>
  <si>
    <t>বিস্কুট- চকলেট</t>
  </si>
  <si>
    <t>আশরাফাবাদ যাতায়াত</t>
  </si>
  <si>
    <t>বালিশ</t>
  </si>
  <si>
    <t>জায়নামাজ</t>
  </si>
  <si>
    <t>যাতায়াত</t>
  </si>
  <si>
    <t>রুহ আফজা</t>
  </si>
  <si>
    <t>কাগজ</t>
  </si>
  <si>
    <t>সরিষা</t>
  </si>
  <si>
    <t>চানাচুর</t>
  </si>
  <si>
    <t>স্বাদমিশালী</t>
  </si>
  <si>
    <t>মক্তবের নাস্তা</t>
  </si>
  <si>
    <t>ফোম</t>
  </si>
  <si>
    <t xml:space="preserve">বিছানার কভার আনার ভাড়া </t>
  </si>
  <si>
    <t>বিদ্যুৎ ও বিদ্যুতিকা</t>
  </si>
  <si>
    <t>বিদুৎ মিস্ত্রি</t>
  </si>
  <si>
    <t>ডিজেল</t>
  </si>
  <si>
    <t>ফ্রিজ মেরামত</t>
  </si>
  <si>
    <t>হুযূরের ব্যক্তিগত</t>
  </si>
  <si>
    <t>মালিবাগ যাতায়াত</t>
  </si>
  <si>
    <t>বাংলাবাজার যাতায়াত</t>
  </si>
  <si>
    <t>ফেবিকল আঠা</t>
  </si>
  <si>
    <t>কয়েল+লাইটার</t>
  </si>
  <si>
    <t>মাপযন্ত্র মেরামত</t>
  </si>
  <si>
    <t>পাখা মেরামত</t>
  </si>
  <si>
    <t>কুতুবখানার হুজুরের বেন্ডর</t>
  </si>
  <si>
    <t>ছোটো মাপযন্ত্র মেরামত</t>
  </si>
  <si>
    <t>বিদুৎ মিস্ত্রি রাতে</t>
  </si>
  <si>
    <t xml:space="preserve">রাইয়ান মাহমুদ </t>
  </si>
  <si>
    <t>বিন সুলতান</t>
  </si>
  <si>
    <t>মশারী</t>
  </si>
  <si>
    <t>বাশঁপাতা কাগজ</t>
  </si>
  <si>
    <t>সাদা খাম</t>
  </si>
  <si>
    <t>টপ আনার ভাড়া</t>
  </si>
  <si>
    <t>মক্তবের হেজবল</t>
  </si>
  <si>
    <t>তালা</t>
  </si>
  <si>
    <t>মিরর</t>
  </si>
  <si>
    <t>বিন মুনির</t>
  </si>
  <si>
    <t>হারপিক</t>
  </si>
  <si>
    <t>টপ মেরামত</t>
  </si>
  <si>
    <t>ময়লা ফেলার ভাড়া</t>
  </si>
  <si>
    <t>ঈদের দিন হাদিয়া বিতরন</t>
  </si>
  <si>
    <t>হুজুরকে আনা নেয়া</t>
  </si>
  <si>
    <t>যাত্রাবাড়ি</t>
  </si>
  <si>
    <t>অভিভাবকের রাহা খরচ</t>
  </si>
  <si>
    <t xml:space="preserve">ব্যাটারি </t>
  </si>
  <si>
    <t>ব্যাটারি ৭.৫ ভোল্ট</t>
  </si>
  <si>
    <t>স্টিকার পেপার</t>
  </si>
  <si>
    <t>ব্যাগ</t>
  </si>
  <si>
    <t>মগ</t>
  </si>
  <si>
    <t>ছাফাইয়ের ছামান</t>
  </si>
  <si>
    <t>ময়লার ঝুড়ি</t>
  </si>
  <si>
    <t>প্যাডেল বিন</t>
  </si>
  <si>
    <t>বেলচা</t>
  </si>
  <si>
    <t>জগ</t>
  </si>
  <si>
    <t>বস্তা</t>
  </si>
  <si>
    <t>মুকুট ব্রাদাস</t>
  </si>
  <si>
    <t>ঘড়ি</t>
  </si>
  <si>
    <t>এলার্ম ঘড়ি</t>
  </si>
  <si>
    <t>পাপোশ</t>
  </si>
  <si>
    <t>সুপার ষ্টার পাখা</t>
  </si>
  <si>
    <t>২০ ওয়ার্ড টিউব বাতি</t>
  </si>
  <si>
    <t>নিমকদানী</t>
  </si>
  <si>
    <t>ছিলনি</t>
  </si>
  <si>
    <t>দস্তরখান</t>
  </si>
  <si>
    <t>সসপেন</t>
  </si>
  <si>
    <t>ঢাকনা</t>
  </si>
  <si>
    <t>বাটি</t>
  </si>
  <si>
    <t>বাটির ঢাকনা</t>
  </si>
  <si>
    <t>টিফিন বাটি</t>
  </si>
  <si>
    <t>জারস</t>
  </si>
  <si>
    <t>বাতি</t>
  </si>
  <si>
    <t>জালি ঝুরি</t>
  </si>
  <si>
    <t>সাব্বুরা মুছনি</t>
  </si>
  <si>
    <t xml:space="preserve">সাব্বুরা </t>
  </si>
  <si>
    <t>মোড়া বড়</t>
  </si>
  <si>
    <t>মোড়া ছোট</t>
  </si>
  <si>
    <t>বালতি</t>
  </si>
  <si>
    <t>পানির ঝার</t>
  </si>
  <si>
    <t>ঝুড়ি</t>
  </si>
  <si>
    <t>কাপরের ঝুড়ি</t>
  </si>
  <si>
    <t>ক্ষুর</t>
  </si>
  <si>
    <t>বোটি</t>
  </si>
  <si>
    <t>বেলেট</t>
  </si>
  <si>
    <t>চুল কাটার যন্ত্র</t>
  </si>
  <si>
    <t>যন্ত্রের মাথা</t>
  </si>
  <si>
    <t>ঝুটার বাসন</t>
  </si>
  <si>
    <t>যাতায়াত খরচ</t>
  </si>
  <si>
    <t>এন আর এন্টারপ্রাইজ</t>
  </si>
  <si>
    <t>ফুল ঝারু</t>
  </si>
  <si>
    <t>বাগান-নার্সারী</t>
  </si>
  <si>
    <t>বাগানের কিটনাশক</t>
  </si>
  <si>
    <t>মুছুনি</t>
  </si>
  <si>
    <t>মাহমুদ</t>
  </si>
  <si>
    <t>জানালা মুছুনি</t>
  </si>
  <si>
    <t>তরল সাবান</t>
  </si>
  <si>
    <t>মুড়ি রাখার ড্রাম</t>
  </si>
  <si>
    <t>দস্তরখানের কাপর</t>
  </si>
  <si>
    <t>কাপরের ক্লিপ</t>
  </si>
  <si>
    <t>ছোট জাওয়াল</t>
  </si>
  <si>
    <t>নাঈমুর রহমান</t>
  </si>
  <si>
    <t>জাওয়াল মেরামত</t>
  </si>
  <si>
    <t>গাড়ি ভাড়া</t>
  </si>
  <si>
    <t>অংকে বিসমিল্লাহ ছাপ</t>
  </si>
  <si>
    <t>ফাইল বড়</t>
  </si>
  <si>
    <t>ফাইল ছোট</t>
  </si>
  <si>
    <t>পেন ড্রাইভ</t>
  </si>
  <si>
    <t>জুতা</t>
  </si>
  <si>
    <t>আবু বকর</t>
  </si>
  <si>
    <t>অভিভাবকের যাতায়াত খরচ</t>
  </si>
  <si>
    <t>লাবিব সাফওয়ান</t>
  </si>
  <si>
    <t>আব্দুল্লাহ বিন মিজান</t>
  </si>
  <si>
    <t>কুতুবখানার হুজুরের সঞ্চয়</t>
  </si>
  <si>
    <t>তোশক</t>
  </si>
  <si>
    <t>সদরঘাট যাতায়াত</t>
  </si>
  <si>
    <t>গোবর</t>
  </si>
  <si>
    <t>খাদেম নাহিদ</t>
  </si>
  <si>
    <t>শ্রমিক</t>
  </si>
  <si>
    <t>তালিবুল ইলমের নাস্তা</t>
  </si>
  <si>
    <t>শাহেনা</t>
  </si>
  <si>
    <t>আকিজ বিস্কুট</t>
  </si>
  <si>
    <t>লিফট সার্ভিসিং</t>
  </si>
  <si>
    <t>অলিম্পিক বিস্কুট</t>
  </si>
  <si>
    <t>হেমায়েতপুর যাতায়াত</t>
  </si>
  <si>
    <t xml:space="preserve">বিছানার কভার </t>
  </si>
  <si>
    <t>শাবাকার</t>
  </si>
  <si>
    <t>বার্তা বাহক</t>
  </si>
  <si>
    <t>চিরা</t>
  </si>
  <si>
    <t>দই</t>
  </si>
  <si>
    <t xml:space="preserve">ভাতের বোল </t>
  </si>
  <si>
    <t>নেয়ামতখানার ড্রাম</t>
  </si>
  <si>
    <t>মাতবাখের চুলা</t>
  </si>
  <si>
    <t>মাদানী মাকতাবের জগ</t>
  </si>
  <si>
    <t>মক্তবের চিকিৎসার সামান</t>
  </si>
  <si>
    <t>মিনদিল</t>
  </si>
  <si>
    <t>তেলাপোকার স্পে</t>
  </si>
  <si>
    <t>চকলেট</t>
  </si>
  <si>
    <t>খেদমতে খালক</t>
  </si>
  <si>
    <t>বিআরবি হাসপাতাল</t>
  </si>
  <si>
    <t>বাশার যাতায়াত খরচ</t>
  </si>
  <si>
    <t>বুড়ি মার জন্য ফল</t>
  </si>
  <si>
    <t>প্রতিবেশি বুড়ি মা</t>
  </si>
  <si>
    <t>সাগরের চিকিৎসা</t>
  </si>
  <si>
    <t>১ম বর্ষের তালেবে ইলমের ঔষধ</t>
  </si>
  <si>
    <t>আরিফ</t>
  </si>
  <si>
    <t>কাশ্মীরি মরিচ</t>
  </si>
  <si>
    <t>নক চকলেট</t>
  </si>
  <si>
    <t>কলাতিয়া যাতায়াত</t>
  </si>
  <si>
    <t>মতিঝিল…...আশরাফাবাদ</t>
  </si>
  <si>
    <t>সাইনবোর্ড</t>
  </si>
  <si>
    <t>কুমিল্লা</t>
  </si>
  <si>
    <t>হাসুব ইন্জিনিয়ার</t>
  </si>
  <si>
    <t>তরমুজ</t>
  </si>
  <si>
    <t>শ্রমিক আনার ভাড়া</t>
  </si>
  <si>
    <t>যাবীহার খরচ</t>
  </si>
  <si>
    <t>বিদুৎ বিল</t>
  </si>
  <si>
    <t>ধোলাইকা নেয়ার ভাড়া</t>
  </si>
  <si>
    <t>আলিপুর যাতায়াত</t>
  </si>
  <si>
    <t>পেডেল বিন</t>
  </si>
  <si>
    <t>হুইম ক্লাম</t>
  </si>
  <si>
    <t>শট পিস</t>
  </si>
  <si>
    <t>ফিনিস পাওয়ার</t>
  </si>
  <si>
    <t>ব্লেন্ডার</t>
  </si>
  <si>
    <t>কালো ময়লা ফেলার পলিথিন</t>
  </si>
  <si>
    <t>যণ্ত্র মেরামত</t>
  </si>
  <si>
    <t>ছাতা</t>
  </si>
  <si>
    <t>তোয়ালে</t>
  </si>
  <si>
    <t>মব</t>
  </si>
  <si>
    <t>আব্দুর রহমান</t>
  </si>
  <si>
    <t>ড্রাই মব</t>
  </si>
  <si>
    <t>ড্রাই মবের মাথা</t>
  </si>
  <si>
    <t>বোর্ড পিন</t>
  </si>
  <si>
    <t>ক্লিপ বোর্ড</t>
  </si>
  <si>
    <t>ফরিদাবাদ সফরের খরচ</t>
  </si>
  <si>
    <t>জজ মিয়ার জমি প্রস্তুত</t>
  </si>
  <si>
    <t>কুরিয়ার ভাড়া</t>
  </si>
  <si>
    <t>ডেলিভারি চার্জ</t>
  </si>
  <si>
    <t>চান্দহর যাতায়াত</t>
  </si>
  <si>
    <t>ময়লা ফেলার জায়গার ভাড়া</t>
  </si>
  <si>
    <t>মুড়ি +চানাচুর</t>
  </si>
  <si>
    <t>জাওয়াল</t>
  </si>
  <si>
    <t>চাপাতি,ছুরি ধার</t>
  </si>
  <si>
    <t>সুনামগঞ্জ</t>
  </si>
  <si>
    <t>পপস</t>
  </si>
  <si>
    <t>বিদুতিকা সার্ভিসিং</t>
  </si>
  <si>
    <t>ধোলাইকা মেরামত</t>
  </si>
  <si>
    <t>১ম শ্রেণীর নাস্তা</t>
  </si>
  <si>
    <t>স্টাপলার যন্ত্র</t>
  </si>
  <si>
    <t>মেহমানের রাহা খরচ</t>
  </si>
  <si>
    <t>আল রাফির দাখেলাও অজিফা</t>
  </si>
  <si>
    <t>চুলার প্রতিষ্ঠানে যাতায়াত</t>
  </si>
  <si>
    <t>অকটেন</t>
  </si>
  <si>
    <t>দিয়াশলাই</t>
  </si>
  <si>
    <t>পানি</t>
  </si>
  <si>
    <t>স্যালাইন</t>
  </si>
  <si>
    <t>তরীকুল ইসলাম</t>
  </si>
  <si>
    <t>সুনামগঞ্জের যাবতিয় খরচ</t>
  </si>
  <si>
    <t>ফাশ্টওয়াশ</t>
  </si>
  <si>
    <t>আল রাফির অজিফা</t>
  </si>
  <si>
    <t>মক্তবের হাম্মামের জুতা</t>
  </si>
  <si>
    <t>হাম্মামের বদনা</t>
  </si>
  <si>
    <t>মাছরিফে যাতায়াত</t>
  </si>
  <si>
    <t>সাদা কাগজ</t>
  </si>
  <si>
    <t>হাসিবুল হাসান</t>
  </si>
  <si>
    <t>পেনসিল + রাবার</t>
  </si>
  <si>
    <t>পরীক্ষার বোর্ড</t>
  </si>
  <si>
    <t>মেহমানের বক্স</t>
  </si>
  <si>
    <t>পাড়াগ্রাম যাতায়াত</t>
  </si>
  <si>
    <t>বাঘুলি যাতায়াত</t>
  </si>
  <si>
    <t>দস্তরখান পৌঁছানো</t>
  </si>
  <si>
    <t>উত্তরা যাতায়াত</t>
  </si>
  <si>
    <t>পুইশাক</t>
  </si>
  <si>
    <t>বিন মাহমুদের চিকিৎসা</t>
  </si>
  <si>
    <t>মোট বকেয়া</t>
  </si>
  <si>
    <t>গ্রহণ</t>
  </si>
  <si>
    <t>প্রদান</t>
  </si>
  <si>
    <t>বকেয়া</t>
  </si>
  <si>
    <t>মামুন</t>
  </si>
  <si>
    <t>বেলাল</t>
  </si>
  <si>
    <t>তারিখ</t>
  </si>
  <si>
    <t>স্থান</t>
  </si>
  <si>
    <t>রশিদ</t>
  </si>
  <si>
    <t>9/10/1446</t>
  </si>
  <si>
    <t>07/11/1446</t>
  </si>
  <si>
    <t>10/11/1446</t>
  </si>
  <si>
    <t>18/11/1446</t>
  </si>
  <si>
    <t>03/12/1446</t>
  </si>
  <si>
    <t>07/12/1446</t>
  </si>
  <si>
    <t>মাতবাখ , মাদরাসা</t>
  </si>
  <si>
    <t>তামিরাত</t>
  </si>
  <si>
    <t>অর্থ গ্রহণ</t>
  </si>
  <si>
    <t>মাতবাখ বাবদ মোট খরচ</t>
  </si>
  <si>
    <t>মোট ব্যয়</t>
  </si>
  <si>
    <t>মাদরাসা বাবদ মোট খরচ</t>
  </si>
  <si>
    <t>মোট বকেয়া/বিদ্যমান</t>
  </si>
  <si>
    <t>মোট বিদ্যমান</t>
  </si>
  <si>
    <t>সর্বমোট খরচ</t>
  </si>
  <si>
    <t>নগদ খরচ</t>
  </si>
  <si>
    <t>বকেয়া আদায়</t>
  </si>
  <si>
    <t>মাতবাখ, মাদরাসা মোট বকেয়া</t>
  </si>
  <si>
    <t>মোট আদায়কৃত অর্থ</t>
  </si>
  <si>
    <t xml:space="preserve">বকেয়া বিদ্যমান </t>
  </si>
  <si>
    <t>হুজুরের ব্যক্তিগত খরচ</t>
  </si>
  <si>
    <t>জমা থেকে বিদ্যমান</t>
  </si>
  <si>
    <t>বাসার করয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</si>
</sst>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_-;\-* #,##0_-;_-* &quot;-&quot;??_-;_-@_-"/>
    <numFmt numFmtId="166" formatCode="[$-5000445]0"/>
    <numFmt numFmtId="167" formatCode="[$-1170000]B2dd/mm/yy;@"/>
    <numFmt numFmtId="168" formatCode="d/m/yy;@"/>
    <numFmt numFmtId="169" formatCode="0.0"/>
    <numFmt numFmtId="170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SolaimanLipi"/>
      <family val="4"/>
    </font>
    <font>
      <sz val="22"/>
      <color theme="1"/>
      <name val="SolaimanLipi"/>
      <family val="4"/>
    </font>
    <font>
      <sz val="16"/>
      <color theme="1"/>
      <name val="SolaimanLipi"/>
      <family val="4"/>
    </font>
    <font>
      <sz val="11"/>
      <name val="SolaimanLipi"/>
      <family val="4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SolaimanLipi"/>
      <family val="4"/>
    </font>
    <font>
      <sz val="11"/>
      <color theme="1"/>
      <name val="GangaSagarMJ"/>
    </font>
    <font>
      <sz val="11"/>
      <color theme="1"/>
      <name val="AF_Diwani"/>
      <family val="2"/>
      <charset val="178"/>
    </font>
    <font>
      <sz val="11"/>
      <color theme="1"/>
      <name val="SutonnyMJ"/>
    </font>
    <font>
      <sz val="12"/>
      <color theme="1"/>
      <name val="SutonnyMJ"/>
    </font>
    <font>
      <sz val="12"/>
      <color theme="1"/>
      <name val="SolaimanLipi"/>
      <family val="4"/>
    </font>
    <font>
      <sz val="10"/>
      <color theme="1"/>
      <name val="Calibri"/>
      <family val="2"/>
      <scheme val="minor"/>
    </font>
    <font>
      <b/>
      <sz val="9"/>
      <color indexed="81"/>
      <name val="Tahoma"/>
    </font>
    <font>
      <sz val="9"/>
      <color indexed="81"/>
      <name val="Tahoma"/>
    </font>
    <font>
      <sz val="16"/>
      <color theme="1"/>
      <name val="SutonnyMJ"/>
    </font>
    <font>
      <sz val="14"/>
      <color theme="1"/>
      <name val="SolaimanLipi"/>
      <family val="4"/>
    </font>
    <font>
      <sz val="14"/>
      <color theme="1"/>
      <name val="SutonnyMJ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164" fontId="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 applyAlignment="1">
      <alignment horizontal="center"/>
    </xf>
    <xf numFmtId="165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3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65" fontId="1" fillId="0" borderId="0" xfId="1" applyNumberFormat="1" applyFont="1" applyAlignment="1"/>
    <xf numFmtId="3" fontId="3" fillId="0" borderId="0" xfId="0" applyNumberFormat="1" applyFont="1"/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1" applyNumberFormat="1" applyFont="1"/>
    <xf numFmtId="0" fontId="3" fillId="3" borderId="0" xfId="0" applyFont="1" applyFill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3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165" fontId="7" fillId="0" borderId="0" xfId="1" applyNumberFormat="1" applyFont="1" applyAlignment="1"/>
    <xf numFmtId="165" fontId="8" fillId="0" borderId="0" xfId="1" applyNumberFormat="1" applyFont="1" applyAlignment="1">
      <alignment horizontal="right"/>
    </xf>
    <xf numFmtId="165" fontId="3" fillId="0" borderId="0" xfId="0" applyNumberFormat="1" applyFont="1"/>
    <xf numFmtId="0" fontId="9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3" fillId="4" borderId="0" xfId="0" applyFont="1" applyFill="1" applyAlignment="1">
      <alignment horizontal="left"/>
    </xf>
    <xf numFmtId="3" fontId="3" fillId="4" borderId="0" xfId="0" applyNumberFormat="1" applyFont="1" applyFill="1"/>
    <xf numFmtId="165" fontId="0" fillId="0" borderId="0" xfId="1" applyNumberFormat="1" applyFont="1"/>
    <xf numFmtId="3" fontId="0" fillId="0" borderId="0" xfId="0" applyNumberFormat="1"/>
    <xf numFmtId="0" fontId="10" fillId="0" borderId="0" xfId="0" applyFont="1" applyAlignment="1">
      <alignment horizontal="center"/>
    </xf>
    <xf numFmtId="165" fontId="10" fillId="0" borderId="0" xfId="1" applyNumberFormat="1" applyFont="1" applyAlignment="1">
      <alignment horizontal="right" vertical="center"/>
    </xf>
    <xf numFmtId="0" fontId="0" fillId="0" borderId="0" xfId="0" applyAlignment="1">
      <alignment horizontal="center"/>
    </xf>
    <xf numFmtId="165" fontId="3" fillId="0" borderId="0" xfId="1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7" fontId="12" fillId="0" borderId="2" xfId="2" applyNumberFormat="1" applyFont="1" applyBorder="1" applyAlignment="1">
      <alignment horizontal="center"/>
    </xf>
    <xf numFmtId="168" fontId="12" fillId="0" borderId="2" xfId="2" applyNumberFormat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9" fontId="0" fillId="0" borderId="0" xfId="0" applyNumberFormat="1"/>
    <xf numFmtId="3" fontId="12" fillId="0" borderId="0" xfId="0" applyNumberFormat="1" applyFont="1" applyAlignment="1">
      <alignment horizontal="center" wrapText="1"/>
    </xf>
    <xf numFmtId="3" fontId="12" fillId="0" borderId="0" xfId="0" applyNumberFormat="1" applyFont="1" applyAlignment="1">
      <alignment horizontal="center"/>
    </xf>
    <xf numFmtId="3" fontId="12" fillId="0" borderId="4" xfId="0" applyNumberFormat="1" applyFont="1" applyBorder="1"/>
    <xf numFmtId="0" fontId="12" fillId="0" borderId="0" xfId="0" applyFont="1" applyAlignment="1">
      <alignment vertical="center"/>
    </xf>
    <xf numFmtId="165" fontId="12" fillId="0" borderId="0" xfId="1" applyNumberFormat="1" applyFont="1" applyAlignment="1">
      <alignment horizontal="right" vertical="center"/>
    </xf>
    <xf numFmtId="0" fontId="3" fillId="0" borderId="0" xfId="0" applyFont="1" applyAlignment="1">
      <alignment horizontal="center" wrapText="1"/>
    </xf>
    <xf numFmtId="166" fontId="3" fillId="0" borderId="1" xfId="0" applyNumberFormat="1" applyFont="1" applyBorder="1" applyAlignment="1">
      <alignment horizontal="center" vertical="center"/>
    </xf>
    <xf numFmtId="3" fontId="12" fillId="0" borderId="0" xfId="0" applyNumberFormat="1" applyFont="1"/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165" fontId="9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165" fontId="0" fillId="0" borderId="0" xfId="1" applyNumberFormat="1" applyFont="1" applyFill="1"/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65" fontId="13" fillId="0" borderId="0" xfId="1" applyNumberFormat="1" applyFont="1" applyAlignment="1">
      <alignment horizontal="right" vertical="center"/>
    </xf>
    <xf numFmtId="165" fontId="12" fillId="0" borderId="0" xfId="1" applyNumberFormat="1" applyFont="1" applyFill="1" applyAlignment="1">
      <alignment horizontal="right" vertical="center"/>
    </xf>
    <xf numFmtId="0" fontId="14" fillId="0" borderId="0" xfId="0" applyFont="1" applyAlignment="1">
      <alignment horizontal="center"/>
    </xf>
    <xf numFmtId="0" fontId="3" fillId="0" borderId="5" xfId="0" applyFont="1" applyBorder="1"/>
    <xf numFmtId="166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5" xfId="0" applyBorder="1"/>
    <xf numFmtId="165" fontId="0" fillId="0" borderId="5" xfId="1" applyNumberFormat="1" applyFont="1" applyBorder="1"/>
    <xf numFmtId="165" fontId="12" fillId="0" borderId="0" xfId="1" applyNumberFormat="1" applyFont="1"/>
    <xf numFmtId="0" fontId="3" fillId="0" borderId="3" xfId="0" applyFont="1" applyBorder="1" applyAlignment="1">
      <alignment horizontal="center"/>
    </xf>
    <xf numFmtId="3" fontId="3" fillId="0" borderId="0" xfId="0" applyNumberFormat="1" applyFont="1" applyAlignment="1">
      <alignment horizontal="right" vertical="center"/>
    </xf>
    <xf numFmtId="165" fontId="12" fillId="0" borderId="0" xfId="1" applyNumberFormat="1" applyFont="1" applyBorder="1"/>
    <xf numFmtId="3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right" vertical="center"/>
    </xf>
    <xf numFmtId="165" fontId="0" fillId="0" borderId="0" xfId="0" applyNumberFormat="1" applyAlignment="1">
      <alignment horizontal="center"/>
    </xf>
    <xf numFmtId="167" fontId="12" fillId="0" borderId="0" xfId="2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166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0" fillId="5" borderId="0" xfId="0" applyFill="1"/>
    <xf numFmtId="165" fontId="0" fillId="5" borderId="0" xfId="1" applyNumberFormat="1" applyFont="1" applyFill="1"/>
    <xf numFmtId="165" fontId="0" fillId="0" borderId="0" xfId="3" applyNumberFormat="1" applyFont="1"/>
    <xf numFmtId="170" fontId="0" fillId="0" borderId="0" xfId="1" applyNumberFormat="1" applyFont="1"/>
    <xf numFmtId="0" fontId="15" fillId="0" borderId="0" xfId="0" applyFont="1"/>
    <xf numFmtId="0" fontId="3" fillId="0" borderId="6" xfId="0" applyFont="1" applyBorder="1"/>
    <xf numFmtId="165" fontId="18" fillId="0" borderId="7" xfId="1" applyNumberFormat="1" applyFont="1" applyBorder="1" applyAlignment="1"/>
    <xf numFmtId="0" fontId="19" fillId="0" borderId="0" xfId="0" applyFont="1" applyAlignment="1">
      <alignment horizontal="center" vertical="center"/>
    </xf>
    <xf numFmtId="165" fontId="20" fillId="0" borderId="0" xfId="1" applyNumberFormat="1" applyFont="1" applyAlignment="1">
      <alignment vertical="center"/>
    </xf>
    <xf numFmtId="165" fontId="0" fillId="0" borderId="0" xfId="0" applyNumberFormat="1"/>
    <xf numFmtId="0" fontId="0" fillId="6" borderId="0" xfId="0" applyFill="1"/>
    <xf numFmtId="0" fontId="3" fillId="6" borderId="0" xfId="0" applyFont="1" applyFill="1"/>
    <xf numFmtId="165" fontId="3" fillId="6" borderId="0" xfId="1" applyNumberFormat="1" applyFont="1" applyFill="1"/>
    <xf numFmtId="0" fontId="3" fillId="6" borderId="0" xfId="0" applyFont="1" applyFill="1" applyAlignment="1">
      <alignment horizontal="center"/>
    </xf>
    <xf numFmtId="0" fontId="12" fillId="0" borderId="0" xfId="0" applyFont="1"/>
    <xf numFmtId="165" fontId="13" fillId="0" borderId="0" xfId="1" applyNumberFormat="1" applyFont="1" applyAlignment="1">
      <alignment vertical="center"/>
    </xf>
    <xf numFmtId="165" fontId="13" fillId="0" borderId="0" xfId="1" applyNumberFormat="1" applyFont="1"/>
    <xf numFmtId="14" fontId="12" fillId="0" borderId="0" xfId="0" applyNumberFormat="1" applyFont="1"/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22" fillId="7" borderId="11" xfId="0" applyFont="1" applyFill="1" applyBorder="1" applyAlignment="1">
      <alignment horizontal="center"/>
    </xf>
    <xf numFmtId="0" fontId="22" fillId="7" borderId="0" xfId="0" applyFont="1" applyFill="1" applyAlignment="1">
      <alignment horizontal="center"/>
    </xf>
    <xf numFmtId="3" fontId="22" fillId="7" borderId="0" xfId="0" applyNumberFormat="1" applyFont="1" applyFill="1" applyAlignment="1">
      <alignment horizontal="center"/>
    </xf>
    <xf numFmtId="0" fontId="22" fillId="7" borderId="12" xfId="0" applyFont="1" applyFill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8" borderId="11" xfId="0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  <xf numFmtId="3" fontId="22" fillId="8" borderId="0" xfId="0" applyNumberFormat="1" applyFont="1" applyFill="1" applyAlignment="1">
      <alignment horizontal="center"/>
    </xf>
    <xf numFmtId="3" fontId="22" fillId="8" borderId="12" xfId="0" applyNumberFormat="1" applyFont="1" applyFill="1" applyBorder="1" applyAlignment="1">
      <alignment horizontal="center"/>
    </xf>
    <xf numFmtId="0" fontId="22" fillId="0" borderId="11" xfId="0" applyFont="1" applyBorder="1"/>
    <xf numFmtId="0" fontId="22" fillId="0" borderId="0" xfId="0" applyFont="1"/>
    <xf numFmtId="0" fontId="22" fillId="0" borderId="12" xfId="0" applyFont="1" applyBorder="1"/>
    <xf numFmtId="0" fontId="22" fillId="9" borderId="11" xfId="0" applyFont="1" applyFill="1" applyBorder="1"/>
    <xf numFmtId="0" fontId="22" fillId="9" borderId="0" xfId="0" applyFont="1" applyFill="1"/>
    <xf numFmtId="3" fontId="22" fillId="9" borderId="0" xfId="0" applyNumberFormat="1" applyFont="1" applyFill="1" applyAlignment="1">
      <alignment horizontal="center"/>
    </xf>
    <xf numFmtId="0" fontId="22" fillId="9" borderId="12" xfId="0" applyFont="1" applyFill="1" applyBorder="1" applyAlignment="1">
      <alignment horizontal="center"/>
    </xf>
    <xf numFmtId="3" fontId="23" fillId="0" borderId="0" xfId="0" applyNumberFormat="1" applyFont="1" applyAlignment="1">
      <alignment horizontal="center"/>
    </xf>
    <xf numFmtId="0" fontId="22" fillId="10" borderId="11" xfId="0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3" fontId="22" fillId="10" borderId="0" xfId="0" applyNumberFormat="1" applyFont="1" applyFill="1" applyAlignment="1">
      <alignment horizontal="center"/>
    </xf>
    <xf numFmtId="0" fontId="22" fillId="10" borderId="12" xfId="0" applyFont="1" applyFill="1" applyBorder="1" applyAlignment="1">
      <alignment horizontal="center"/>
    </xf>
    <xf numFmtId="0" fontId="22" fillId="11" borderId="11" xfId="0" applyFont="1" applyFill="1" applyBorder="1"/>
    <xf numFmtId="0" fontId="22" fillId="11" borderId="0" xfId="0" applyFont="1" applyFill="1"/>
    <xf numFmtId="3" fontId="22" fillId="11" borderId="0" xfId="0" applyNumberFormat="1" applyFont="1" applyFill="1" applyAlignment="1">
      <alignment horizontal="center"/>
    </xf>
    <xf numFmtId="0" fontId="22" fillId="11" borderId="12" xfId="0" applyFont="1" applyFill="1" applyBorder="1" applyAlignment="1">
      <alignment horizontal="center"/>
    </xf>
    <xf numFmtId="165" fontId="23" fillId="0" borderId="0" xfId="1" applyNumberFormat="1" applyFont="1" applyBorder="1" applyAlignment="1">
      <alignment horizontal="center"/>
    </xf>
    <xf numFmtId="0" fontId="22" fillId="2" borderId="11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165" fontId="22" fillId="2" borderId="0" xfId="0" applyNumberFormat="1" applyFont="1" applyFill="1" applyAlignment="1">
      <alignment horizontal="center"/>
    </xf>
    <xf numFmtId="0" fontId="22" fillId="2" borderId="12" xfId="0" applyFont="1" applyFill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0" xfId="0" applyFont="1" applyAlignment="1">
      <alignment horizontal="center"/>
    </xf>
    <xf numFmtId="3" fontId="24" fillId="0" borderId="0" xfId="0" applyNumberFormat="1" applyFont="1" applyAlignment="1">
      <alignment horizontal="center"/>
    </xf>
    <xf numFmtId="0" fontId="24" fillId="0" borderId="12" xfId="0" applyFont="1" applyBorder="1" applyAlignment="1">
      <alignment horizontal="center"/>
    </xf>
    <xf numFmtId="0" fontId="23" fillId="7" borderId="11" xfId="0" applyFont="1" applyFill="1" applyBorder="1" applyAlignment="1">
      <alignment horizontal="center"/>
    </xf>
    <xf numFmtId="0" fontId="23" fillId="7" borderId="0" xfId="0" applyFont="1" applyFill="1" applyAlignment="1">
      <alignment horizontal="center"/>
    </xf>
    <xf numFmtId="165" fontId="23" fillId="7" borderId="0" xfId="1" applyNumberFormat="1" applyFont="1" applyFill="1" applyBorder="1" applyAlignment="1">
      <alignment horizontal="center"/>
    </xf>
    <xf numFmtId="0" fontId="0" fillId="7" borderId="12" xfId="0" applyFill="1" applyBorder="1"/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12" borderId="11" xfId="0" applyFont="1" applyFill="1" applyBorder="1" applyAlignment="1">
      <alignment horizontal="center"/>
    </xf>
    <xf numFmtId="0" fontId="22" fillId="12" borderId="0" xfId="0" applyFont="1" applyFill="1" applyAlignment="1">
      <alignment horizontal="center"/>
    </xf>
    <xf numFmtId="3" fontId="22" fillId="12" borderId="0" xfId="0" applyNumberFormat="1" applyFont="1" applyFill="1" applyAlignment="1">
      <alignment horizontal="center"/>
    </xf>
    <xf numFmtId="0" fontId="22" fillId="12" borderId="12" xfId="0" applyFont="1" applyFill="1" applyBorder="1" applyAlignment="1">
      <alignment horizontal="center"/>
    </xf>
    <xf numFmtId="0" fontId="22" fillId="0" borderId="11" xfId="0" applyFont="1" applyBorder="1" applyAlignment="1">
      <alignment horizontal="center"/>
    </xf>
    <xf numFmtId="165" fontId="22" fillId="0" borderId="0" xfId="1" applyNumberFormat="1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0" xfId="0" applyFont="1" applyAlignment="1">
      <alignment horizontal="center"/>
    </xf>
    <xf numFmtId="165" fontId="25" fillId="0" borderId="0" xfId="1" applyNumberFormat="1" applyFont="1" applyFill="1" applyBorder="1" applyAlignment="1">
      <alignment horizontal="center"/>
    </xf>
    <xf numFmtId="165" fontId="25" fillId="0" borderId="12" xfId="1" applyNumberFormat="1" applyFont="1" applyFill="1" applyBorder="1" applyAlignment="1">
      <alignment horizontal="center"/>
    </xf>
    <xf numFmtId="165" fontId="25" fillId="0" borderId="0" xfId="0" applyNumberFormat="1" applyFont="1" applyAlignment="1">
      <alignment horizontal="center"/>
    </xf>
    <xf numFmtId="165" fontId="22" fillId="0" borderId="12" xfId="1" applyNumberFormat="1" applyFont="1" applyBorder="1" applyAlignment="1">
      <alignment horizontal="center"/>
    </xf>
    <xf numFmtId="165" fontId="22" fillId="0" borderId="0" xfId="1" applyNumberFormat="1" applyFont="1" applyFill="1" applyBorder="1" applyAlignment="1">
      <alignment horizontal="center"/>
    </xf>
    <xf numFmtId="165" fontId="22" fillId="0" borderId="12" xfId="1" applyNumberFormat="1" applyFont="1" applyFill="1" applyBorder="1" applyAlignment="1">
      <alignment horizontal="center"/>
    </xf>
    <xf numFmtId="165" fontId="22" fillId="8" borderId="0" xfId="1" applyNumberFormat="1" applyFont="1" applyFill="1" applyBorder="1" applyAlignment="1">
      <alignment horizontal="center"/>
    </xf>
    <xf numFmtId="165" fontId="22" fillId="8" borderId="12" xfId="1" applyNumberFormat="1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5" fontId="0" fillId="0" borderId="0" xfId="1" applyNumberFormat="1" applyFont="1" applyFill="1" applyBorder="1"/>
    <xf numFmtId="165" fontId="0" fillId="0" borderId="12" xfId="1" applyNumberFormat="1" applyFont="1" applyFill="1" applyBorder="1"/>
  </cellXfs>
  <cellStyles count="4">
    <cellStyle name="Comma" xfId="1" builtinId="3"/>
    <cellStyle name="Comma 3" xfId="3" xr:uid="{B7E80BB6-ACEA-4B42-85EA-FE9C68EAAD1A}"/>
    <cellStyle name="Normal" xfId="0" builtinId="0"/>
    <cellStyle name="Normal 2 2" xfId="2" xr:uid="{52BC3CAB-1BF9-4F35-867D-FE29131B05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im\Downloads\&#2478;&#2494;&#2468;&#2476;&#2494;&#2454;-&#2478;&#2494;&#2470;&#2480;&#2494;&#2488;&#2494;.xlsx" TargetMode="External"/><Relationship Id="rId1" Type="http://schemas.openxmlformats.org/officeDocument/2006/relationships/externalLinkPath" Target="file:///C:\Users\sanim\Downloads\&#2478;&#2494;&#2468;&#2476;&#2494;&#2454;-&#2478;&#2494;&#2470;&#2480;&#2494;&#2488;&#249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nim\Downloads\&#2468;&#2494;&#2478;&#2495;&#2480;&#2494;&#2468;&#2538;&#2541;-&#2538;&#254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2468;&#2494;&#2478;&#2496;&#2480;&#2494;&#2468;%20-&#2535;&#2538;&#2538;&#2539;-&#2538;&#2540;.xlsx" TargetMode="External"/><Relationship Id="rId1" Type="http://schemas.openxmlformats.org/officeDocument/2006/relationships/externalLinkPath" Target="/&#2468;&#2494;&#2478;&#2496;&#2480;&#2494;&#2468;%20-&#2535;&#2538;&#2538;&#2539;-&#2538;&#2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op down"/>
      <sheetName val="অর্থ গ্রহণ"/>
      <sheetName val="মাতবাখ"/>
      <sheetName val="মাদরাসা"/>
      <sheetName val="অন্যান্য খাত"/>
      <sheetName val="বাকির হিসাব"/>
      <sheetName val="ড্যাশবোর্ড"/>
    </sheetNames>
    <sheetDataSet>
      <sheetData sheetId="0">
        <row r="2">
          <cell r="B2" t="str">
            <v>নতুন ভবন</v>
          </cell>
        </row>
        <row r="3">
          <cell r="B3" t="str">
            <v>দস্তর ভবন</v>
          </cell>
        </row>
        <row r="4">
          <cell r="B4" t="str">
            <v>মাসজিদ</v>
          </cell>
        </row>
        <row r="5">
          <cell r="B5" t="str">
            <v>মাকতাব</v>
          </cell>
        </row>
      </sheetData>
      <sheetData sheetId="1"/>
      <sheetData sheetId="2"/>
      <sheetData sheetId="3"/>
      <sheetData sheetId="4">
        <row r="2">
          <cell r="I2">
            <v>0</v>
          </cell>
          <cell r="J2">
            <v>0</v>
          </cell>
        </row>
      </sheetData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অর্থ গ্রহন"/>
      <sheetName val="খরচ"/>
      <sheetName val="বকেয়া"/>
      <sheetName val="Sheet4"/>
      <sheetName val="সমস্ত কিছুর মোট"/>
    </sheetNames>
    <sheetDataSet>
      <sheetData sheetId="0">
        <row r="2">
          <cell r="S2">
            <v>136375</v>
          </cell>
          <cell r="T2"/>
        </row>
        <row r="4">
          <cell r="F4">
            <v>400000</v>
          </cell>
          <cell r="G4"/>
          <cell r="S4">
            <v>100000</v>
          </cell>
          <cell r="T4"/>
        </row>
        <row r="6">
          <cell r="F6">
            <v>505173</v>
          </cell>
          <cell r="G6"/>
          <cell r="I6">
            <v>-105173</v>
          </cell>
          <cell r="J6"/>
        </row>
      </sheetData>
      <sheetData sheetId="1"/>
      <sheetData sheetId="2">
        <row r="1">
          <cell r="K1">
            <v>268798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op down"/>
      <sheetName val="অর্থ গ্রহণ"/>
      <sheetName val="খরচ"/>
      <sheetName val="Sheet1"/>
      <sheetName val="Sheet2"/>
    </sheetNames>
    <sheetDataSet>
      <sheetData sheetId="0">
        <row r="2">
          <cell r="C2" t="str">
            <v>ফুট</v>
          </cell>
        </row>
        <row r="3">
          <cell r="C3" t="str">
            <v>টি</v>
          </cell>
        </row>
        <row r="4">
          <cell r="C4" t="str">
            <v>জন</v>
          </cell>
        </row>
        <row r="5">
          <cell r="C5" t="str">
            <v>গাড়ী</v>
          </cell>
        </row>
        <row r="6">
          <cell r="C6" t="str">
            <v>ব্যাগ</v>
          </cell>
        </row>
        <row r="7">
          <cell r="C7" t="str">
            <v>প্যাকেট</v>
          </cell>
        </row>
        <row r="8">
          <cell r="C8" t="str">
            <v>বক্স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A17C-3C43-4725-9AE4-027B47CA9927}">
  <dimension ref="A1:X282"/>
  <sheetViews>
    <sheetView tabSelected="1" zoomScaleNormal="100" workbookViewId="0">
      <pane ySplit="8" topLeftCell="A9" activePane="bottomLeft" state="frozen"/>
      <selection activeCell="F15" sqref="F15"/>
      <selection pane="bottomLeft" activeCell="F15" sqref="F15"/>
    </sheetView>
  </sheetViews>
  <sheetFormatPr defaultColWidth="9.140625" defaultRowHeight="15"/>
  <cols>
    <col min="1" max="1" width="10.42578125" style="1" customWidth="1"/>
    <col min="2" max="2" width="5.85546875" style="1" customWidth="1"/>
    <col min="3" max="3" width="13.28515625" style="2" customWidth="1"/>
    <col min="4" max="4" width="19.28515625" style="1" customWidth="1"/>
    <col min="5" max="5" width="9.28515625" style="1" customWidth="1"/>
    <col min="6" max="6" width="10.42578125" style="3" customWidth="1"/>
    <col min="7" max="7" width="11.85546875" style="4" customWidth="1"/>
    <col min="8" max="8" width="9.28515625" style="9" customWidth="1"/>
    <col min="9" max="10" width="18.7109375" style="9" customWidth="1"/>
    <col min="11" max="12" width="9.28515625" style="9" customWidth="1"/>
    <col min="13" max="13" width="12.5703125" style="9" customWidth="1"/>
    <col min="14" max="14" width="13.7109375" style="9" customWidth="1"/>
    <col min="15" max="15" width="10.85546875" style="9" customWidth="1"/>
    <col min="16" max="16" width="13" style="9" customWidth="1"/>
    <col min="17" max="17" width="10.7109375" style="9" customWidth="1"/>
    <col min="18" max="18" width="12.28515625" style="9" customWidth="1"/>
    <col min="19" max="19" width="11.5703125" style="9" customWidth="1"/>
    <col min="20" max="20" width="11.85546875" style="9" customWidth="1"/>
    <col min="21" max="21" width="9.140625" style="9"/>
    <col min="22" max="22" width="7.28515625" style="9" customWidth="1"/>
    <col min="23" max="23" width="18.7109375" style="9" customWidth="1"/>
    <col min="24" max="24" width="17.7109375" style="9" customWidth="1"/>
    <col min="25" max="16384" width="9.140625" style="9"/>
  </cols>
  <sheetData>
    <row r="1" spans="1:24" ht="37.15" customHeight="1">
      <c r="H1" s="5"/>
      <c r="I1" s="6" t="s">
        <v>0</v>
      </c>
      <c r="J1" s="6"/>
      <c r="K1" s="6"/>
      <c r="L1" s="6"/>
      <c r="M1" s="7" t="s">
        <v>1</v>
      </c>
      <c r="N1" s="7" t="s">
        <v>2</v>
      </c>
      <c r="O1" s="7" t="s">
        <v>3</v>
      </c>
      <c r="P1" s="7" t="s">
        <v>4</v>
      </c>
      <c r="Q1" s="7" t="s">
        <v>5</v>
      </c>
      <c r="R1" s="8" t="s">
        <v>6</v>
      </c>
    </row>
    <row r="2" spans="1:24">
      <c r="D2" s="10"/>
      <c r="I2" s="11" t="s">
        <v>7</v>
      </c>
      <c r="J2" s="11"/>
      <c r="M2" s="12">
        <f>মাতবাখ!J2+মাদরাসা!J2</f>
        <v>2198085</v>
      </c>
      <c r="N2" s="12">
        <f>মাতবাখ!K2+মাদরাসা!K2</f>
        <v>902559</v>
      </c>
      <c r="O2" s="12">
        <f>মাতবাখ!L2+মাদরাসা!L2</f>
        <v>0</v>
      </c>
      <c r="P2" s="12">
        <f>মাতবাখ!M2+মাদরাসা!M2</f>
        <v>0</v>
      </c>
      <c r="Q2" s="12">
        <f>মাতবাখ!N2+মাদরাসা!N2</f>
        <v>0</v>
      </c>
      <c r="R2" s="12">
        <f>মাতবাখ!O2+মাদরাসা!O2</f>
        <v>0</v>
      </c>
      <c r="W2" s="9" t="s">
        <v>8</v>
      </c>
      <c r="X2" s="13">
        <f>0-K4</f>
        <v>5644</v>
      </c>
    </row>
    <row r="3" spans="1:24" ht="16.149999999999999" customHeight="1">
      <c r="I3" s="14">
        <f>SUM(C:C)</f>
        <v>3095000</v>
      </c>
      <c r="J3" s="14"/>
      <c r="K3" s="15" t="s">
        <v>9</v>
      </c>
      <c r="L3" s="15"/>
      <c r="N3"/>
      <c r="O3"/>
      <c r="P3"/>
      <c r="W3" s="9" t="s">
        <v>10</v>
      </c>
      <c r="X3" s="16">
        <f>'বাকির হিসাব'!$C$1</f>
        <v>233920</v>
      </c>
    </row>
    <row r="4" spans="1:24" ht="16.149999999999999" customHeight="1">
      <c r="I4" s="17" t="s">
        <v>11</v>
      </c>
      <c r="J4" s="17"/>
      <c r="K4" s="18">
        <f>I3-J8</f>
        <v>-5644</v>
      </c>
      <c r="L4" s="19"/>
      <c r="M4" s="8" t="s">
        <v>12</v>
      </c>
      <c r="N4" s="8" t="s">
        <v>13</v>
      </c>
      <c r="O4" s="20" t="s">
        <v>14</v>
      </c>
      <c r="P4" s="1" t="s">
        <v>15</v>
      </c>
      <c r="Q4" s="10" t="s">
        <v>16</v>
      </c>
      <c r="R4" s="21" t="s">
        <v>17</v>
      </c>
      <c r="W4" s="22" t="s">
        <v>18</v>
      </c>
      <c r="X4" s="23">
        <f>X3-X2</f>
        <v>228276</v>
      </c>
    </row>
    <row r="5" spans="1:24">
      <c r="I5" s="9" t="s">
        <v>19</v>
      </c>
      <c r="J5" s="13">
        <f>SUM(মাতবাখ!H:H)</f>
        <v>1919865</v>
      </c>
      <c r="K5" s="19"/>
      <c r="L5" s="19"/>
      <c r="M5" s="12">
        <f>মাতবাখ!J4+মাদরাসা!J4</f>
        <v>0</v>
      </c>
      <c r="N5" s="12">
        <f>মাতবাখ!K4+মাদরাসা!K4</f>
        <v>0</v>
      </c>
      <c r="O5" s="12">
        <f>মাতবাখ!L4+মাদরাসা!L4</f>
        <v>0</v>
      </c>
      <c r="P5" s="12">
        <f>মাতবাখ!M4+মাদরাসা!M4</f>
        <v>0</v>
      </c>
      <c r="Q5" s="12">
        <f>মাতবাখ!N4+মাদরাসা!N4</f>
        <v>0</v>
      </c>
      <c r="R5" s="24">
        <f>মাতবাখ!O4+মাদরাসা!O4</f>
        <v>0</v>
      </c>
      <c r="W5" s="22"/>
      <c r="X5" s="23"/>
    </row>
    <row r="6" spans="1:24" ht="16.899999999999999" customHeight="1">
      <c r="F6" s="1"/>
      <c r="G6" s="25"/>
      <c r="I6" s="9" t="s">
        <v>20</v>
      </c>
      <c r="J6" s="13">
        <f>SUM(মাদরাসা!H:H)</f>
        <v>1180779</v>
      </c>
      <c r="W6" s="9" t="s">
        <v>21</v>
      </c>
      <c r="X6" s="16" t="e">
        <f>SUM(#REF!)</f>
        <v>#REF!</v>
      </c>
    </row>
    <row r="7" spans="1:24" ht="16.899999999999999" customHeight="1">
      <c r="F7" s="1"/>
      <c r="J7" s="13"/>
      <c r="X7" s="26"/>
    </row>
    <row r="8" spans="1:24" ht="16.899999999999999" customHeight="1">
      <c r="A8" s="27" t="s">
        <v>22</v>
      </c>
      <c r="C8" s="28" t="s">
        <v>23</v>
      </c>
      <c r="D8" s="27" t="s">
        <v>24</v>
      </c>
      <c r="E8" s="9"/>
      <c r="F8" s="9"/>
      <c r="G8" s="9"/>
      <c r="I8" s="29" t="s">
        <v>25</v>
      </c>
      <c r="J8" s="30">
        <f>SUM(J5:J7)</f>
        <v>3100644</v>
      </c>
    </row>
    <row r="9" spans="1:24" ht="15" customHeight="1">
      <c r="A9" t="s">
        <v>1</v>
      </c>
      <c r="B9">
        <v>9</v>
      </c>
      <c r="C9" s="31">
        <v>100000</v>
      </c>
      <c r="D9"/>
      <c r="F9"/>
      <c r="G9"/>
      <c r="H9"/>
    </row>
    <row r="10" spans="1:24" ht="15" customHeight="1">
      <c r="A10" t="s">
        <v>1</v>
      </c>
      <c r="B10">
        <v>9</v>
      </c>
      <c r="C10" s="31">
        <v>300000</v>
      </c>
      <c r="D10"/>
      <c r="F10"/>
      <c r="G10"/>
      <c r="H10"/>
    </row>
    <row r="11" spans="1:24" ht="15" customHeight="1">
      <c r="A11" t="s">
        <v>1</v>
      </c>
      <c r="B11">
        <v>9</v>
      </c>
      <c r="C11" s="31">
        <v>100000</v>
      </c>
      <c r="D11"/>
      <c r="H11"/>
    </row>
    <row r="12" spans="1:24" ht="15" customHeight="1">
      <c r="A12" t="s">
        <v>1</v>
      </c>
      <c r="B12">
        <v>9</v>
      </c>
      <c r="C12" s="31">
        <v>100000</v>
      </c>
      <c r="D12"/>
      <c r="E12"/>
      <c r="F12"/>
      <c r="G12"/>
      <c r="H12" s="31"/>
    </row>
    <row r="13" spans="1:24" ht="15" customHeight="1">
      <c r="A13" t="s">
        <v>1</v>
      </c>
      <c r="B13">
        <v>11</v>
      </c>
      <c r="C13" s="31">
        <v>100000</v>
      </c>
      <c r="D13"/>
      <c r="E13"/>
      <c r="F13"/>
      <c r="G13"/>
      <c r="H13" s="31"/>
    </row>
    <row r="14" spans="1:24" ht="15" customHeight="1">
      <c r="A14" t="s">
        <v>1</v>
      </c>
      <c r="B14">
        <v>12</v>
      </c>
      <c r="C14" s="31">
        <v>100000</v>
      </c>
      <c r="D14"/>
      <c r="E14"/>
      <c r="F14"/>
      <c r="G14" s="31"/>
      <c r="H14" s="31"/>
    </row>
    <row r="15" spans="1:24" ht="15" customHeight="1">
      <c r="A15" t="s">
        <v>1</v>
      </c>
      <c r="B15">
        <v>15</v>
      </c>
      <c r="C15" s="31">
        <v>200000</v>
      </c>
      <c r="D15"/>
      <c r="E15"/>
      <c r="F15"/>
      <c r="G15" s="31"/>
      <c r="H15" s="31"/>
    </row>
    <row r="16" spans="1:24" ht="15" customHeight="1">
      <c r="A16" t="s">
        <v>1</v>
      </c>
      <c r="B16">
        <v>16</v>
      </c>
      <c r="C16" s="31">
        <v>100000</v>
      </c>
      <c r="D16"/>
      <c r="E16"/>
      <c r="F16"/>
      <c r="G16" s="31"/>
      <c r="H16" s="31"/>
      <c r="M16" s="16"/>
    </row>
    <row r="17" spans="1:10" ht="15" customHeight="1">
      <c r="A17" t="s">
        <v>1</v>
      </c>
      <c r="B17">
        <v>17</v>
      </c>
      <c r="C17" s="31">
        <v>100000</v>
      </c>
      <c r="D17"/>
      <c r="E17"/>
      <c r="F17"/>
      <c r="G17"/>
    </row>
    <row r="18" spans="1:10" ht="15" customHeight="1">
      <c r="A18" t="s">
        <v>1</v>
      </c>
      <c r="B18">
        <v>19</v>
      </c>
      <c r="C18" s="31">
        <v>100000</v>
      </c>
      <c r="D18"/>
      <c r="E18"/>
      <c r="F18"/>
      <c r="G18"/>
    </row>
    <row r="19" spans="1:10" ht="15" customHeight="1">
      <c r="A19" t="s">
        <v>1</v>
      </c>
      <c r="B19">
        <v>20</v>
      </c>
      <c r="C19" s="31">
        <v>100000</v>
      </c>
      <c r="D19"/>
      <c r="E19"/>
      <c r="F19"/>
      <c r="G19"/>
      <c r="H19"/>
    </row>
    <row r="20" spans="1:10" ht="15" customHeight="1">
      <c r="A20" t="s">
        <v>1</v>
      </c>
      <c r="B20">
        <v>23</v>
      </c>
      <c r="C20" s="2">
        <v>145000</v>
      </c>
      <c r="D20"/>
      <c r="E20"/>
      <c r="F20"/>
      <c r="G20"/>
      <c r="H20"/>
    </row>
    <row r="21" spans="1:10" ht="15" customHeight="1">
      <c r="A21" t="s">
        <v>1</v>
      </c>
      <c r="B21">
        <v>23</v>
      </c>
      <c r="C21" s="31">
        <v>350000</v>
      </c>
      <c r="D21"/>
      <c r="E21"/>
      <c r="F21"/>
      <c r="G21"/>
      <c r="H21"/>
    </row>
    <row r="22" spans="1:10" ht="15" customHeight="1">
      <c r="A22" t="s">
        <v>1</v>
      </c>
      <c r="B22">
        <v>26</v>
      </c>
      <c r="C22" s="31">
        <v>200000</v>
      </c>
      <c r="D22"/>
      <c r="E22"/>
      <c r="F22"/>
      <c r="G22"/>
      <c r="H22"/>
      <c r="J22" s="32"/>
    </row>
    <row r="23" spans="1:10" ht="15" customHeight="1">
      <c r="A23" t="s">
        <v>26</v>
      </c>
      <c r="B23">
        <v>1</v>
      </c>
      <c r="C23" s="31">
        <v>700000</v>
      </c>
      <c r="D23"/>
      <c r="E23"/>
      <c r="F23"/>
      <c r="G23"/>
      <c r="H23"/>
    </row>
    <row r="24" spans="1:10" ht="15" customHeight="1">
      <c r="A24" t="s">
        <v>26</v>
      </c>
      <c r="B24">
        <v>7</v>
      </c>
      <c r="C24" s="31">
        <v>300000</v>
      </c>
      <c r="E24"/>
      <c r="F24"/>
      <c r="G24"/>
      <c r="H24"/>
    </row>
    <row r="25" spans="1:10">
      <c r="A25"/>
      <c r="B25"/>
      <c r="C25" s="31"/>
      <c r="D25"/>
      <c r="E25"/>
      <c r="F25"/>
      <c r="G25"/>
      <c r="H25" s="32"/>
    </row>
    <row r="26" spans="1:10">
      <c r="A26"/>
      <c r="B26"/>
      <c r="C26" s="31"/>
      <c r="D26"/>
      <c r="E26"/>
      <c r="F26"/>
      <c r="G26"/>
      <c r="H26" s="32"/>
    </row>
    <row r="27" spans="1:10">
      <c r="A27"/>
      <c r="B27"/>
      <c r="C27" s="31"/>
      <c r="D27"/>
      <c r="E27"/>
      <c r="F27"/>
      <c r="G27"/>
      <c r="H27" s="32"/>
    </row>
    <row r="28" spans="1:10">
      <c r="A28"/>
      <c r="B28"/>
      <c r="C28" s="31"/>
      <c r="D28"/>
      <c r="E28"/>
      <c r="F28"/>
      <c r="G28"/>
      <c r="H28" s="32"/>
    </row>
    <row r="29" spans="1:10">
      <c r="A29"/>
      <c r="B29"/>
      <c r="C29" s="31"/>
      <c r="D29"/>
      <c r="E29"/>
      <c r="F29"/>
      <c r="G29"/>
      <c r="H29" s="32"/>
    </row>
    <row r="30" spans="1:10">
      <c r="A30"/>
      <c r="B30"/>
      <c r="C30" s="31"/>
      <c r="D30"/>
      <c r="E30"/>
      <c r="F30"/>
      <c r="G30"/>
      <c r="H30" s="32"/>
    </row>
    <row r="31" spans="1:10">
      <c r="A31"/>
      <c r="B31"/>
      <c r="C31" s="31"/>
      <c r="D31"/>
      <c r="E31"/>
      <c r="F31"/>
      <c r="G31"/>
      <c r="H31" s="32"/>
    </row>
    <row r="32" spans="1:10">
      <c r="A32"/>
      <c r="B32"/>
      <c r="C32" s="31"/>
      <c r="D32"/>
      <c r="E32"/>
      <c r="F32"/>
      <c r="G32"/>
      <c r="H32" s="32"/>
    </row>
    <row r="33" spans="1:8">
      <c r="A33"/>
      <c r="B33"/>
      <c r="C33" s="31"/>
      <c r="D33"/>
      <c r="E33"/>
      <c r="F33"/>
      <c r="G33"/>
      <c r="H33"/>
    </row>
    <row r="34" spans="1:8">
      <c r="A34"/>
      <c r="B34"/>
      <c r="C34" s="31"/>
      <c r="D34"/>
      <c r="E34"/>
      <c r="F34"/>
      <c r="G34"/>
      <c r="H34" s="32"/>
    </row>
    <row r="35" spans="1:8">
      <c r="A35"/>
      <c r="B35"/>
      <c r="C35" s="31"/>
      <c r="D35"/>
      <c r="E35"/>
      <c r="F35"/>
      <c r="G35"/>
      <c r="H35" s="32"/>
    </row>
    <row r="36" spans="1:8">
      <c r="A36"/>
      <c r="B36"/>
      <c r="C36" s="31"/>
      <c r="D36"/>
      <c r="E36"/>
      <c r="F36"/>
      <c r="G36"/>
      <c r="H36" s="32"/>
    </row>
    <row r="37" spans="1:8">
      <c r="A37"/>
      <c r="B37"/>
      <c r="C37" s="31"/>
      <c r="D37"/>
      <c r="E37"/>
      <c r="F37"/>
      <c r="G37"/>
      <c r="H37" s="32"/>
    </row>
    <row r="38" spans="1:8">
      <c r="A38"/>
      <c r="B38"/>
      <c r="C38" s="31"/>
      <c r="D38"/>
      <c r="E38"/>
      <c r="F38"/>
      <c r="G38"/>
      <c r="H38" s="32"/>
    </row>
    <row r="39" spans="1:8">
      <c r="A39"/>
      <c r="B39"/>
      <c r="C39" s="31"/>
      <c r="D39"/>
      <c r="E39"/>
      <c r="F39"/>
      <c r="G39"/>
      <c r="H39" s="32"/>
    </row>
    <row r="40" spans="1:8">
      <c r="A40"/>
      <c r="B40"/>
      <c r="C40" s="31"/>
      <c r="D40"/>
      <c r="E40"/>
      <c r="F40"/>
      <c r="G40"/>
      <c r="H40" s="32"/>
    </row>
    <row r="41" spans="1:8">
      <c r="A41"/>
      <c r="B41"/>
      <c r="C41" s="31"/>
      <c r="D41"/>
      <c r="E41"/>
      <c r="F41"/>
      <c r="G41"/>
      <c r="H41" s="32"/>
    </row>
    <row r="42" spans="1:8">
      <c r="A42"/>
      <c r="B42"/>
      <c r="C42" s="31"/>
      <c r="D42"/>
      <c r="E42"/>
      <c r="F42"/>
      <c r="G42"/>
      <c r="H42" s="32"/>
    </row>
    <row r="43" spans="1:8">
      <c r="A43"/>
      <c r="B43"/>
      <c r="C43" s="31"/>
      <c r="D43"/>
      <c r="E43"/>
      <c r="F43"/>
      <c r="G43"/>
    </row>
    <row r="44" spans="1:8">
      <c r="A44"/>
      <c r="B44"/>
      <c r="C44" s="31"/>
      <c r="D44"/>
      <c r="E44"/>
      <c r="F44"/>
      <c r="G44"/>
    </row>
    <row r="45" spans="1:8">
      <c r="A45"/>
      <c r="B45"/>
      <c r="C45" s="31"/>
      <c r="D45"/>
      <c r="E45"/>
      <c r="F45"/>
      <c r="G45"/>
    </row>
    <row r="46" spans="1:8">
      <c r="A46"/>
      <c r="B46"/>
      <c r="C46" s="31"/>
      <c r="D46"/>
      <c r="E46"/>
      <c r="F46"/>
      <c r="G46"/>
    </row>
    <row r="47" spans="1:8">
      <c r="A47"/>
      <c r="B47"/>
      <c r="C47" s="31"/>
      <c r="D47"/>
      <c r="E47"/>
      <c r="F47"/>
      <c r="G47"/>
    </row>
    <row r="48" spans="1:8">
      <c r="A48"/>
      <c r="B48"/>
      <c r="C48" s="31"/>
      <c r="D48"/>
      <c r="E48"/>
      <c r="F48"/>
      <c r="G48"/>
    </row>
    <row r="49" spans="1:7">
      <c r="A49"/>
      <c r="B49"/>
      <c r="C49" s="31"/>
      <c r="D49"/>
      <c r="E49"/>
      <c r="F49"/>
      <c r="G49"/>
    </row>
    <row r="50" spans="1:7">
      <c r="A50"/>
      <c r="B50"/>
      <c r="C50" s="31"/>
      <c r="D50"/>
      <c r="E50"/>
      <c r="F50"/>
      <c r="G50"/>
    </row>
    <row r="51" spans="1:7">
      <c r="A51"/>
      <c r="B51"/>
      <c r="C51" s="31"/>
      <c r="D51"/>
      <c r="E51"/>
      <c r="F51"/>
      <c r="G51"/>
    </row>
    <row r="52" spans="1:7">
      <c r="A52"/>
      <c r="B52"/>
      <c r="C52" s="31"/>
      <c r="D52"/>
      <c r="E52"/>
      <c r="F52"/>
      <c r="G52"/>
    </row>
    <row r="53" spans="1:7">
      <c r="A53"/>
      <c r="B53"/>
      <c r="C53" s="31"/>
      <c r="D53"/>
      <c r="E53"/>
      <c r="F53"/>
      <c r="G53"/>
    </row>
    <row r="54" spans="1:7">
      <c r="A54"/>
      <c r="B54"/>
      <c r="C54" s="31"/>
      <c r="D54"/>
      <c r="E54"/>
      <c r="F54"/>
      <c r="G54"/>
    </row>
    <row r="55" spans="1:7">
      <c r="A55"/>
      <c r="B55"/>
      <c r="C55" s="31"/>
      <c r="D55"/>
      <c r="E55"/>
      <c r="F55"/>
      <c r="G55"/>
    </row>
    <row r="56" spans="1:7">
      <c r="A56"/>
      <c r="B56"/>
      <c r="C56" s="31"/>
      <c r="D56"/>
      <c r="E56"/>
      <c r="F56"/>
      <c r="G56"/>
    </row>
    <row r="57" spans="1:7">
      <c r="A57"/>
      <c r="B57"/>
      <c r="C57" s="31"/>
      <c r="D57"/>
      <c r="E57"/>
      <c r="F57"/>
      <c r="G57"/>
    </row>
    <row r="58" spans="1:7">
      <c r="A58"/>
      <c r="B58"/>
      <c r="C58" s="31"/>
      <c r="D58"/>
      <c r="E58"/>
      <c r="F58"/>
      <c r="G58"/>
    </row>
    <row r="59" spans="1:7">
      <c r="A59"/>
      <c r="B59"/>
      <c r="C59" s="31"/>
      <c r="D59"/>
      <c r="E59"/>
      <c r="F59"/>
      <c r="G59"/>
    </row>
    <row r="60" spans="1:7">
      <c r="A60"/>
      <c r="B60" s="33"/>
      <c r="C60" s="34"/>
      <c r="D60"/>
      <c r="E60"/>
      <c r="F60"/>
      <c r="G60"/>
    </row>
    <row r="61" spans="1:7">
      <c r="A61"/>
      <c r="B61" s="33"/>
      <c r="C61" s="34"/>
      <c r="D61"/>
      <c r="E61"/>
      <c r="F61"/>
      <c r="G61"/>
    </row>
    <row r="62" spans="1:7">
      <c r="A62"/>
      <c r="B62" s="33"/>
      <c r="C62" s="34"/>
      <c r="D62"/>
      <c r="E62"/>
      <c r="F62"/>
      <c r="G62"/>
    </row>
    <row r="63" spans="1:7">
      <c r="A63"/>
      <c r="B63" s="33"/>
      <c r="C63" s="34"/>
      <c r="D63"/>
      <c r="E63"/>
      <c r="F63"/>
      <c r="G63"/>
    </row>
    <row r="64" spans="1:7">
      <c r="A64"/>
      <c r="B64" s="33"/>
      <c r="C64" s="34"/>
      <c r="D64"/>
      <c r="E64"/>
      <c r="F64"/>
      <c r="G64"/>
    </row>
    <row r="65" spans="1:7">
      <c r="A65"/>
      <c r="B65" s="33"/>
      <c r="C65" s="34"/>
      <c r="D65"/>
      <c r="E65"/>
      <c r="F65"/>
      <c r="G65"/>
    </row>
    <row r="66" spans="1:7">
      <c r="A66"/>
      <c r="B66" s="33"/>
      <c r="C66" s="34"/>
      <c r="D66"/>
      <c r="E66"/>
      <c r="F66"/>
      <c r="G66"/>
    </row>
    <row r="67" spans="1:7">
      <c r="A67"/>
      <c r="B67" s="33"/>
      <c r="C67" s="34"/>
      <c r="D67"/>
      <c r="E67"/>
      <c r="F67"/>
      <c r="G67"/>
    </row>
    <row r="68" spans="1:7">
      <c r="A68"/>
      <c r="B68" s="33"/>
      <c r="C68" s="34"/>
      <c r="D68"/>
      <c r="E68"/>
      <c r="F68"/>
      <c r="G68"/>
    </row>
    <row r="69" spans="1:7">
      <c r="A69"/>
      <c r="B69" s="33"/>
      <c r="C69" s="34"/>
      <c r="D69"/>
      <c r="E69"/>
      <c r="F69"/>
      <c r="G69"/>
    </row>
    <row r="70" spans="1:7">
      <c r="A70"/>
      <c r="B70" s="33"/>
      <c r="C70" s="34"/>
      <c r="D70"/>
      <c r="E70"/>
      <c r="F70"/>
      <c r="G70"/>
    </row>
    <row r="71" spans="1:7">
      <c r="A71"/>
      <c r="B71" s="33"/>
      <c r="C71" s="34"/>
      <c r="D71"/>
      <c r="E71"/>
      <c r="F71"/>
      <c r="G71"/>
    </row>
    <row r="72" spans="1:7">
      <c r="A72"/>
      <c r="B72" s="33"/>
      <c r="C72" s="34"/>
      <c r="D72"/>
      <c r="E72"/>
      <c r="F72"/>
      <c r="G72"/>
    </row>
    <row r="73" spans="1:7">
      <c r="A73"/>
      <c r="B73" s="33"/>
      <c r="C73" s="34"/>
      <c r="D73"/>
      <c r="E73"/>
      <c r="F73"/>
      <c r="G73"/>
    </row>
    <row r="74" spans="1:7">
      <c r="A74"/>
      <c r="B74" s="33"/>
      <c r="C74" s="34"/>
      <c r="D74"/>
      <c r="E74"/>
      <c r="F74"/>
      <c r="G74"/>
    </row>
    <row r="75" spans="1:7">
      <c r="A75"/>
      <c r="B75" s="33"/>
      <c r="C75" s="34"/>
      <c r="D75"/>
      <c r="E75"/>
      <c r="F75"/>
      <c r="G75"/>
    </row>
    <row r="76" spans="1:7">
      <c r="A76"/>
      <c r="B76" s="33"/>
      <c r="C76" s="34"/>
      <c r="D76"/>
      <c r="E76"/>
      <c r="F76"/>
      <c r="G76"/>
    </row>
    <row r="77" spans="1:7">
      <c r="A77" s="35"/>
      <c r="B77" s="33"/>
      <c r="C77" s="34"/>
      <c r="D77"/>
    </row>
    <row r="78" spans="1:7">
      <c r="A78" s="35"/>
      <c r="B78" s="33"/>
      <c r="C78" s="34"/>
      <c r="D78"/>
    </row>
    <row r="79" spans="1:7">
      <c r="A79" s="35"/>
      <c r="B79" s="33"/>
      <c r="C79" s="34"/>
      <c r="D79"/>
    </row>
    <row r="80" spans="1:7">
      <c r="A80" s="10"/>
      <c r="B80" s="33"/>
      <c r="C80" s="34"/>
      <c r="D80"/>
    </row>
    <row r="81" spans="1:3">
      <c r="A81" s="10"/>
      <c r="B81" s="33"/>
      <c r="C81" s="34"/>
    </row>
    <row r="82" spans="1:3">
      <c r="B82" s="33"/>
      <c r="C82" s="34"/>
    </row>
    <row r="83" spans="1:3">
      <c r="B83" s="33"/>
      <c r="C83" s="34"/>
    </row>
    <row r="84" spans="1:3">
      <c r="B84" s="33"/>
      <c r="C84" s="34"/>
    </row>
    <row r="85" spans="1:3">
      <c r="B85" s="33"/>
      <c r="C85" s="34"/>
    </row>
    <row r="86" spans="1:3">
      <c r="B86" s="33"/>
      <c r="C86" s="34"/>
    </row>
    <row r="87" spans="1:3">
      <c r="B87" s="33"/>
      <c r="C87" s="34"/>
    </row>
    <row r="88" spans="1:3">
      <c r="B88" s="33"/>
      <c r="C88" s="34"/>
    </row>
    <row r="89" spans="1:3">
      <c r="B89" s="33"/>
      <c r="C89" s="34"/>
    </row>
    <row r="90" spans="1:3">
      <c r="B90" s="33"/>
      <c r="C90" s="34"/>
    </row>
    <row r="91" spans="1:3">
      <c r="B91" s="33"/>
      <c r="C91" s="34"/>
    </row>
    <row r="92" spans="1:3">
      <c r="B92" s="33"/>
      <c r="C92" s="34"/>
    </row>
    <row r="93" spans="1:3">
      <c r="B93" s="33"/>
      <c r="C93" s="34"/>
    </row>
    <row r="94" spans="1:3">
      <c r="B94" s="33"/>
      <c r="C94" s="34"/>
    </row>
    <row r="95" spans="1:3">
      <c r="B95" s="33"/>
      <c r="C95" s="34"/>
    </row>
    <row r="96" spans="1:3">
      <c r="B96" s="33"/>
      <c r="C96" s="34"/>
    </row>
    <row r="97" spans="2:3">
      <c r="B97" s="33"/>
      <c r="C97" s="34"/>
    </row>
    <row r="98" spans="2:3">
      <c r="B98" s="33"/>
      <c r="C98" s="34"/>
    </row>
    <row r="99" spans="2:3">
      <c r="B99" s="33"/>
      <c r="C99" s="34"/>
    </row>
    <row r="100" spans="2:3">
      <c r="B100" s="33"/>
      <c r="C100" s="34"/>
    </row>
    <row r="101" spans="2:3">
      <c r="B101" s="33"/>
      <c r="C101" s="34"/>
    </row>
    <row r="102" spans="2:3">
      <c r="B102" s="33"/>
      <c r="C102" s="34"/>
    </row>
    <row r="103" spans="2:3">
      <c r="B103" s="33"/>
      <c r="C103" s="34"/>
    </row>
    <row r="104" spans="2:3">
      <c r="B104" s="33"/>
      <c r="C104" s="34"/>
    </row>
    <row r="105" spans="2:3">
      <c r="B105" s="33"/>
      <c r="C105" s="34"/>
    </row>
    <row r="106" spans="2:3">
      <c r="B106" s="33"/>
      <c r="C106" s="34"/>
    </row>
    <row r="107" spans="2:3">
      <c r="B107" s="33"/>
      <c r="C107" s="34"/>
    </row>
    <row r="108" spans="2:3">
      <c r="B108" s="33"/>
      <c r="C108" s="34"/>
    </row>
    <row r="109" spans="2:3">
      <c r="B109" s="33"/>
      <c r="C109" s="34"/>
    </row>
    <row r="110" spans="2:3">
      <c r="B110" s="33"/>
      <c r="C110" s="34"/>
    </row>
    <row r="111" spans="2:3">
      <c r="B111" s="33"/>
      <c r="C111" s="34"/>
    </row>
    <row r="112" spans="2:3">
      <c r="B112" s="33"/>
      <c r="C112" s="34"/>
    </row>
    <row r="113" spans="2:3">
      <c r="B113" s="33"/>
      <c r="C113" s="34"/>
    </row>
    <row r="114" spans="2:3">
      <c r="B114" s="33"/>
      <c r="C114" s="34"/>
    </row>
    <row r="115" spans="2:3">
      <c r="B115" s="33"/>
      <c r="C115" s="34"/>
    </row>
    <row r="116" spans="2:3">
      <c r="B116" s="33"/>
      <c r="C116" s="34"/>
    </row>
    <row r="117" spans="2:3">
      <c r="B117" s="33"/>
      <c r="C117" s="34"/>
    </row>
    <row r="118" spans="2:3">
      <c r="B118" s="33"/>
      <c r="C118" s="34"/>
    </row>
    <row r="119" spans="2:3">
      <c r="B119" s="33"/>
      <c r="C119" s="34"/>
    </row>
    <row r="120" spans="2:3">
      <c r="B120" s="33"/>
      <c r="C120" s="34"/>
    </row>
    <row r="121" spans="2:3">
      <c r="B121" s="33"/>
      <c r="C121" s="34"/>
    </row>
    <row r="122" spans="2:3">
      <c r="B122" s="33"/>
      <c r="C122" s="34"/>
    </row>
    <row r="123" spans="2:3">
      <c r="B123" s="33"/>
      <c r="C123" s="34"/>
    </row>
    <row r="124" spans="2:3">
      <c r="B124" s="33"/>
      <c r="C124" s="34"/>
    </row>
    <row r="125" spans="2:3">
      <c r="B125" s="33"/>
      <c r="C125" s="34"/>
    </row>
    <row r="126" spans="2:3">
      <c r="B126" s="33"/>
      <c r="C126" s="34"/>
    </row>
    <row r="127" spans="2:3">
      <c r="B127" s="33"/>
      <c r="C127" s="34"/>
    </row>
    <row r="128" spans="2:3">
      <c r="B128" s="33"/>
      <c r="C128" s="34"/>
    </row>
    <row r="129" spans="2:3">
      <c r="B129" s="33"/>
      <c r="C129" s="34"/>
    </row>
    <row r="130" spans="2:3">
      <c r="B130" s="33"/>
      <c r="C130" s="34"/>
    </row>
    <row r="131" spans="2:3">
      <c r="B131" s="33"/>
      <c r="C131" s="34"/>
    </row>
    <row r="132" spans="2:3">
      <c r="B132" s="33"/>
      <c r="C132" s="34"/>
    </row>
    <row r="133" spans="2:3">
      <c r="B133" s="33"/>
      <c r="C133" s="34"/>
    </row>
    <row r="134" spans="2:3">
      <c r="B134" s="33"/>
      <c r="C134" s="34"/>
    </row>
    <row r="135" spans="2:3">
      <c r="B135" s="33"/>
      <c r="C135" s="34"/>
    </row>
    <row r="136" spans="2:3">
      <c r="B136" s="33"/>
      <c r="C136" s="34"/>
    </row>
    <row r="137" spans="2:3">
      <c r="B137" s="33"/>
      <c r="C137" s="34"/>
    </row>
    <row r="138" spans="2:3">
      <c r="B138" s="33"/>
      <c r="C138" s="34"/>
    </row>
    <row r="139" spans="2:3">
      <c r="B139" s="33"/>
      <c r="C139" s="34"/>
    </row>
    <row r="140" spans="2:3">
      <c r="B140" s="33"/>
      <c r="C140" s="34"/>
    </row>
    <row r="141" spans="2:3">
      <c r="B141" s="33"/>
      <c r="C141" s="34"/>
    </row>
    <row r="142" spans="2:3">
      <c r="B142" s="33"/>
      <c r="C142" s="34"/>
    </row>
    <row r="143" spans="2:3">
      <c r="B143" s="33"/>
      <c r="C143" s="34"/>
    </row>
    <row r="144" spans="2:3">
      <c r="B144" s="33"/>
      <c r="C144" s="34"/>
    </row>
    <row r="145" spans="2:3">
      <c r="B145" s="33"/>
      <c r="C145" s="34"/>
    </row>
    <row r="146" spans="2:3">
      <c r="B146" s="33"/>
      <c r="C146" s="34"/>
    </row>
    <row r="147" spans="2:3">
      <c r="B147" s="33"/>
      <c r="C147" s="34"/>
    </row>
    <row r="148" spans="2:3">
      <c r="B148" s="33"/>
      <c r="C148" s="34"/>
    </row>
    <row r="149" spans="2:3">
      <c r="B149" s="33"/>
      <c r="C149" s="34"/>
    </row>
    <row r="150" spans="2:3">
      <c r="B150" s="33"/>
      <c r="C150" s="34"/>
    </row>
    <row r="151" spans="2:3">
      <c r="B151" s="33"/>
      <c r="C151" s="34"/>
    </row>
    <row r="152" spans="2:3">
      <c r="B152" s="33"/>
      <c r="C152" s="34"/>
    </row>
    <row r="153" spans="2:3">
      <c r="B153" s="33"/>
      <c r="C153" s="34"/>
    </row>
    <row r="154" spans="2:3">
      <c r="B154" s="33"/>
      <c r="C154" s="34"/>
    </row>
    <row r="155" spans="2:3">
      <c r="B155" s="33"/>
      <c r="C155" s="34"/>
    </row>
    <row r="156" spans="2:3">
      <c r="B156" s="33"/>
      <c r="C156" s="34"/>
    </row>
    <row r="157" spans="2:3">
      <c r="B157" s="33"/>
      <c r="C157" s="34"/>
    </row>
    <row r="158" spans="2:3">
      <c r="B158" s="33"/>
      <c r="C158" s="34"/>
    </row>
    <row r="159" spans="2:3">
      <c r="B159" s="33"/>
      <c r="C159" s="34"/>
    </row>
    <row r="160" spans="2:3">
      <c r="B160" s="33"/>
      <c r="C160" s="34"/>
    </row>
    <row r="161" spans="2:3">
      <c r="B161" s="33"/>
      <c r="C161" s="34"/>
    </row>
    <row r="162" spans="2:3">
      <c r="B162" s="33"/>
      <c r="C162" s="34"/>
    </row>
    <row r="163" spans="2:3">
      <c r="B163" s="33"/>
      <c r="C163" s="34"/>
    </row>
    <row r="164" spans="2:3">
      <c r="B164" s="33"/>
      <c r="C164" s="34"/>
    </row>
    <row r="165" spans="2:3">
      <c r="B165" s="33"/>
      <c r="C165" s="34"/>
    </row>
    <row r="166" spans="2:3">
      <c r="B166" s="33"/>
      <c r="C166" s="34"/>
    </row>
    <row r="167" spans="2:3">
      <c r="B167" s="33"/>
      <c r="C167" s="34"/>
    </row>
    <row r="168" spans="2:3">
      <c r="B168" s="33"/>
      <c r="C168" s="34"/>
    </row>
    <row r="169" spans="2:3">
      <c r="B169" s="33"/>
      <c r="C169" s="34"/>
    </row>
    <row r="170" spans="2:3">
      <c r="B170" s="33"/>
      <c r="C170" s="34"/>
    </row>
    <row r="171" spans="2:3">
      <c r="B171" s="33"/>
      <c r="C171" s="34"/>
    </row>
    <row r="172" spans="2:3">
      <c r="B172" s="33"/>
      <c r="C172" s="34"/>
    </row>
    <row r="173" spans="2:3">
      <c r="B173" s="33"/>
      <c r="C173" s="34"/>
    </row>
    <row r="174" spans="2:3">
      <c r="B174" s="33"/>
      <c r="C174" s="34"/>
    </row>
    <row r="175" spans="2:3">
      <c r="B175" s="33"/>
      <c r="C175" s="34"/>
    </row>
    <row r="176" spans="2:3">
      <c r="B176" s="33"/>
      <c r="C176" s="34"/>
    </row>
    <row r="177" spans="2:3">
      <c r="B177" s="33"/>
      <c r="C177" s="34"/>
    </row>
    <row r="178" spans="2:3">
      <c r="B178" s="33"/>
      <c r="C178" s="34"/>
    </row>
    <row r="179" spans="2:3">
      <c r="B179" s="33"/>
      <c r="C179" s="34"/>
    </row>
    <row r="180" spans="2:3">
      <c r="B180" s="33"/>
      <c r="C180" s="34"/>
    </row>
    <row r="181" spans="2:3">
      <c r="B181" s="33"/>
      <c r="C181" s="34"/>
    </row>
    <row r="182" spans="2:3">
      <c r="B182" s="33"/>
      <c r="C182" s="34"/>
    </row>
    <row r="183" spans="2:3">
      <c r="B183" s="33"/>
      <c r="C183" s="34"/>
    </row>
    <row r="184" spans="2:3">
      <c r="B184" s="33"/>
      <c r="C184" s="34"/>
    </row>
    <row r="185" spans="2:3">
      <c r="B185" s="33"/>
      <c r="C185" s="34"/>
    </row>
    <row r="186" spans="2:3">
      <c r="B186" s="33"/>
      <c r="C186" s="34"/>
    </row>
    <row r="187" spans="2:3">
      <c r="B187" s="33"/>
      <c r="C187" s="34"/>
    </row>
    <row r="188" spans="2:3">
      <c r="B188" s="33"/>
      <c r="C188" s="34"/>
    </row>
    <row r="189" spans="2:3">
      <c r="B189" s="33"/>
      <c r="C189" s="34"/>
    </row>
    <row r="190" spans="2:3">
      <c r="B190" s="33"/>
      <c r="C190" s="34"/>
    </row>
    <row r="191" spans="2:3">
      <c r="B191" s="33"/>
      <c r="C191" s="34"/>
    </row>
    <row r="192" spans="2:3">
      <c r="B192" s="33"/>
      <c r="C192" s="34"/>
    </row>
    <row r="193" spans="2:3">
      <c r="B193" s="33"/>
      <c r="C193" s="34"/>
    </row>
    <row r="194" spans="2:3">
      <c r="B194" s="33"/>
      <c r="C194" s="34"/>
    </row>
    <row r="195" spans="2:3">
      <c r="B195" s="33"/>
      <c r="C195" s="34"/>
    </row>
    <row r="196" spans="2:3">
      <c r="B196" s="33"/>
      <c r="C196" s="34"/>
    </row>
    <row r="197" spans="2:3">
      <c r="B197" s="33"/>
      <c r="C197" s="34"/>
    </row>
    <row r="198" spans="2:3">
      <c r="B198" s="33"/>
      <c r="C198" s="34"/>
    </row>
    <row r="199" spans="2:3">
      <c r="B199" s="33"/>
      <c r="C199" s="34"/>
    </row>
    <row r="200" spans="2:3">
      <c r="B200" s="33"/>
      <c r="C200" s="34"/>
    </row>
    <row r="201" spans="2:3">
      <c r="B201" s="33"/>
      <c r="C201" s="34"/>
    </row>
    <row r="202" spans="2:3">
      <c r="B202" s="33"/>
      <c r="C202" s="34"/>
    </row>
    <row r="203" spans="2:3">
      <c r="B203" s="33"/>
      <c r="C203" s="34"/>
    </row>
    <row r="204" spans="2:3">
      <c r="B204" s="33"/>
      <c r="C204" s="34"/>
    </row>
    <row r="205" spans="2:3">
      <c r="B205" s="33"/>
      <c r="C205" s="34"/>
    </row>
    <row r="206" spans="2:3">
      <c r="B206" s="33"/>
      <c r="C206" s="34"/>
    </row>
    <row r="207" spans="2:3">
      <c r="B207" s="33"/>
      <c r="C207" s="34"/>
    </row>
    <row r="208" spans="2:3">
      <c r="B208" s="33"/>
      <c r="C208" s="34"/>
    </row>
    <row r="209" spans="2:3">
      <c r="B209" s="33"/>
      <c r="C209" s="34"/>
    </row>
    <row r="210" spans="2:3">
      <c r="B210" s="33"/>
      <c r="C210" s="34"/>
    </row>
    <row r="211" spans="2:3">
      <c r="B211" s="33"/>
      <c r="C211" s="34"/>
    </row>
    <row r="212" spans="2:3">
      <c r="B212" s="33"/>
      <c r="C212" s="34"/>
    </row>
    <row r="213" spans="2:3">
      <c r="B213" s="33"/>
      <c r="C213" s="34"/>
    </row>
    <row r="214" spans="2:3">
      <c r="B214" s="33"/>
      <c r="C214" s="34"/>
    </row>
    <row r="215" spans="2:3">
      <c r="B215" s="33"/>
      <c r="C215" s="34"/>
    </row>
    <row r="216" spans="2:3">
      <c r="B216" s="33"/>
      <c r="C216" s="34"/>
    </row>
    <row r="217" spans="2:3">
      <c r="B217" s="33"/>
      <c r="C217" s="34"/>
    </row>
    <row r="218" spans="2:3">
      <c r="B218" s="33"/>
      <c r="C218" s="34"/>
    </row>
    <row r="219" spans="2:3">
      <c r="B219" s="33"/>
      <c r="C219" s="34"/>
    </row>
    <row r="220" spans="2:3">
      <c r="B220" s="33"/>
      <c r="C220" s="34"/>
    </row>
    <row r="221" spans="2:3">
      <c r="B221" s="33"/>
      <c r="C221" s="34"/>
    </row>
    <row r="222" spans="2:3">
      <c r="B222" s="33"/>
      <c r="C222" s="34"/>
    </row>
    <row r="223" spans="2:3">
      <c r="B223" s="33"/>
      <c r="C223" s="34"/>
    </row>
    <row r="224" spans="2:3">
      <c r="B224" s="33"/>
      <c r="C224" s="34"/>
    </row>
    <row r="225" spans="2:3">
      <c r="B225" s="33"/>
      <c r="C225" s="34"/>
    </row>
    <row r="226" spans="2:3">
      <c r="B226" s="33"/>
      <c r="C226" s="34"/>
    </row>
    <row r="227" spans="2:3">
      <c r="B227" s="33"/>
      <c r="C227" s="34"/>
    </row>
    <row r="228" spans="2:3">
      <c r="B228" s="33"/>
      <c r="C228" s="34"/>
    </row>
    <row r="229" spans="2:3">
      <c r="B229" s="33"/>
      <c r="C229" s="34"/>
    </row>
    <row r="230" spans="2:3">
      <c r="B230" s="33"/>
      <c r="C230" s="34"/>
    </row>
    <row r="231" spans="2:3">
      <c r="B231" s="33"/>
      <c r="C231" s="34"/>
    </row>
    <row r="232" spans="2:3">
      <c r="B232" s="33"/>
      <c r="C232" s="34"/>
    </row>
    <row r="233" spans="2:3">
      <c r="B233" s="33"/>
      <c r="C233" s="34"/>
    </row>
    <row r="234" spans="2:3">
      <c r="B234" s="33"/>
      <c r="C234" s="34"/>
    </row>
    <row r="235" spans="2:3">
      <c r="B235" s="33"/>
      <c r="C235" s="34"/>
    </row>
    <row r="236" spans="2:3">
      <c r="B236" s="33"/>
      <c r="C236" s="34"/>
    </row>
    <row r="237" spans="2:3">
      <c r="B237" s="33"/>
      <c r="C237" s="34"/>
    </row>
    <row r="238" spans="2:3">
      <c r="B238" s="33"/>
      <c r="C238" s="34"/>
    </row>
    <row r="239" spans="2:3">
      <c r="B239" s="33"/>
      <c r="C239" s="34"/>
    </row>
    <row r="240" spans="2:3">
      <c r="B240" s="33"/>
      <c r="C240" s="34"/>
    </row>
    <row r="241" spans="2:3">
      <c r="B241" s="33"/>
      <c r="C241" s="34"/>
    </row>
    <row r="242" spans="2:3">
      <c r="B242" s="33"/>
      <c r="C242" s="34"/>
    </row>
    <row r="243" spans="2:3">
      <c r="B243" s="33"/>
      <c r="C243" s="34"/>
    </row>
    <row r="244" spans="2:3">
      <c r="B244" s="33"/>
      <c r="C244" s="34"/>
    </row>
    <row r="245" spans="2:3">
      <c r="B245" s="33"/>
      <c r="C245" s="34"/>
    </row>
    <row r="246" spans="2:3">
      <c r="B246" s="33"/>
      <c r="C246" s="34"/>
    </row>
    <row r="247" spans="2:3">
      <c r="B247" s="33"/>
      <c r="C247" s="34"/>
    </row>
    <row r="248" spans="2:3">
      <c r="B248" s="33"/>
      <c r="C248" s="34"/>
    </row>
    <row r="249" spans="2:3">
      <c r="B249" s="33"/>
      <c r="C249" s="34"/>
    </row>
    <row r="250" spans="2:3">
      <c r="B250" s="33"/>
      <c r="C250" s="34"/>
    </row>
    <row r="251" spans="2:3">
      <c r="B251" s="33"/>
      <c r="C251" s="34"/>
    </row>
    <row r="252" spans="2:3">
      <c r="B252" s="33"/>
      <c r="C252" s="34"/>
    </row>
    <row r="253" spans="2:3">
      <c r="B253" s="33"/>
      <c r="C253" s="34"/>
    </row>
    <row r="254" spans="2:3">
      <c r="B254" s="33"/>
      <c r="C254" s="34"/>
    </row>
    <row r="255" spans="2:3">
      <c r="B255" s="33"/>
      <c r="C255" s="34"/>
    </row>
    <row r="256" spans="2:3">
      <c r="B256" s="33"/>
      <c r="C256" s="34"/>
    </row>
    <row r="257" spans="2:3">
      <c r="B257" s="33"/>
      <c r="C257" s="34"/>
    </row>
    <row r="258" spans="2:3">
      <c r="B258" s="33"/>
      <c r="C258" s="34"/>
    </row>
    <row r="259" spans="2:3">
      <c r="B259" s="33"/>
      <c r="C259" s="34"/>
    </row>
    <row r="260" spans="2:3">
      <c r="B260" s="33"/>
      <c r="C260" s="34"/>
    </row>
    <row r="261" spans="2:3">
      <c r="B261" s="33"/>
      <c r="C261" s="34"/>
    </row>
    <row r="262" spans="2:3">
      <c r="B262" s="33"/>
      <c r="C262" s="34"/>
    </row>
    <row r="263" spans="2:3">
      <c r="B263" s="33"/>
      <c r="C263" s="34"/>
    </row>
    <row r="264" spans="2:3">
      <c r="B264" s="33"/>
      <c r="C264" s="34"/>
    </row>
    <row r="265" spans="2:3">
      <c r="B265" s="33"/>
      <c r="C265" s="34"/>
    </row>
    <row r="266" spans="2:3">
      <c r="B266" s="33"/>
      <c r="C266" s="34"/>
    </row>
    <row r="267" spans="2:3">
      <c r="B267" s="33"/>
      <c r="C267" s="34"/>
    </row>
    <row r="268" spans="2:3">
      <c r="B268" s="33"/>
      <c r="C268" s="34"/>
    </row>
    <row r="269" spans="2:3">
      <c r="B269" s="33"/>
      <c r="C269" s="34"/>
    </row>
    <row r="270" spans="2:3">
      <c r="B270" s="33"/>
      <c r="C270" s="34"/>
    </row>
    <row r="271" spans="2:3">
      <c r="B271" s="33"/>
      <c r="C271" s="34"/>
    </row>
    <row r="272" spans="2:3">
      <c r="B272" s="33"/>
      <c r="C272" s="34"/>
    </row>
    <row r="273" spans="2:3">
      <c r="B273" s="33"/>
      <c r="C273" s="34"/>
    </row>
    <row r="274" spans="2:3">
      <c r="B274" s="33"/>
      <c r="C274" s="34"/>
    </row>
    <row r="275" spans="2:3">
      <c r="B275" s="33"/>
      <c r="C275" s="34"/>
    </row>
    <row r="276" spans="2:3">
      <c r="B276" s="33"/>
      <c r="C276" s="34"/>
    </row>
    <row r="277" spans="2:3">
      <c r="B277" s="33"/>
      <c r="C277" s="34"/>
    </row>
    <row r="278" spans="2:3">
      <c r="B278" s="33"/>
      <c r="C278" s="34"/>
    </row>
    <row r="279" spans="2:3">
      <c r="B279" s="33"/>
      <c r="C279" s="34"/>
    </row>
    <row r="280" spans="2:3">
      <c r="B280" s="33"/>
      <c r="C280" s="34"/>
    </row>
    <row r="281" spans="2:3">
      <c r="B281" s="33"/>
      <c r="C281" s="34"/>
    </row>
    <row r="282" spans="2:3">
      <c r="B282" s="33"/>
      <c r="C282" s="34"/>
    </row>
  </sheetData>
  <autoFilter ref="B8:D56" xr:uid="{00000000-0009-0000-0000-000001000000}"/>
  <mergeCells count="8">
    <mergeCell ref="W4:W5"/>
    <mergeCell ref="X4:X5"/>
    <mergeCell ref="I1:L1"/>
    <mergeCell ref="I2:J2"/>
    <mergeCell ref="I3:J3"/>
    <mergeCell ref="K3:L3"/>
    <mergeCell ref="I4:J4"/>
    <mergeCell ref="K4:L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8139-67D6-4306-9D49-926289C8EEAF}">
  <dimension ref="A1:Y317"/>
  <sheetViews>
    <sheetView zoomScaleNormal="100" workbookViewId="0">
      <pane ySplit="5" topLeftCell="A306" activePane="bottomLeft" state="frozen"/>
      <selection activeCell="F15" sqref="F15"/>
      <selection pane="bottomLeft" activeCell="F15" sqref="F15"/>
    </sheetView>
  </sheetViews>
  <sheetFormatPr defaultColWidth="9.140625" defaultRowHeight="15.75"/>
  <cols>
    <col min="1" max="1" width="9.28515625" style="9" bestFit="1" customWidth="1"/>
    <col min="2" max="2" width="15.140625" style="1" customWidth="1"/>
    <col min="3" max="3" width="7.28515625" style="1" customWidth="1"/>
    <col min="4" max="4" width="14.42578125" style="1" customWidth="1"/>
    <col min="5" max="5" width="20" style="42" customWidth="1"/>
    <col min="6" max="6" width="10.42578125" style="52" bestFit="1" customWidth="1"/>
    <col min="7" max="7" width="10.7109375" style="47" customWidth="1"/>
    <col min="8" max="8" width="13.42578125" style="48" customWidth="1"/>
    <col min="9" max="9" width="17.28515625" style="35" customWidth="1"/>
    <col min="10" max="10" width="14.42578125" style="58" customWidth="1"/>
    <col min="11" max="11" width="12.85546875" style="9" customWidth="1"/>
    <col min="12" max="12" width="17.7109375" style="9" customWidth="1"/>
    <col min="13" max="13" width="11.85546875" style="9" customWidth="1"/>
    <col min="14" max="14" width="12.7109375" style="9" customWidth="1"/>
    <col min="15" max="15" width="11.7109375" style="9" customWidth="1"/>
    <col min="16" max="16" width="12.28515625" style="9" customWidth="1"/>
    <col min="17" max="17" width="10.28515625" style="9" bestFit="1" customWidth="1"/>
    <col min="18" max="19" width="12.140625" style="9" customWidth="1"/>
    <col min="20" max="20" width="9.7109375" style="9" bestFit="1" customWidth="1"/>
    <col min="21" max="21" width="12.140625" style="9" customWidth="1"/>
    <col min="22" max="22" width="11.5703125" style="9" bestFit="1" customWidth="1"/>
    <col min="23" max="23" width="11.7109375" style="9" customWidth="1"/>
    <col min="24" max="24" width="13.28515625" style="9" customWidth="1"/>
    <col min="25" max="25" width="12" style="9" bestFit="1" customWidth="1"/>
    <col min="26" max="16384" width="9.140625" style="9"/>
  </cols>
  <sheetData>
    <row r="1" spans="1:25" ht="28.15" customHeight="1">
      <c r="C1" s="8" t="s">
        <v>27</v>
      </c>
      <c r="D1" s="8"/>
      <c r="E1" s="8"/>
      <c r="F1" s="8"/>
      <c r="G1" s="8"/>
      <c r="H1" s="36"/>
      <c r="I1" s="8"/>
      <c r="J1" s="37" t="s">
        <v>1</v>
      </c>
      <c r="K1" s="7" t="s">
        <v>2</v>
      </c>
      <c r="L1" s="7" t="s">
        <v>3</v>
      </c>
      <c r="M1" s="7" t="s">
        <v>4</v>
      </c>
      <c r="N1" s="7" t="s">
        <v>5</v>
      </c>
      <c r="O1" s="7" t="s">
        <v>6</v>
      </c>
      <c r="P1" s="38">
        <f>Q1-1</f>
        <v>46063</v>
      </c>
      <c r="Q1" s="39">
        <v>46064</v>
      </c>
      <c r="S1" s="1" t="s">
        <v>28</v>
      </c>
      <c r="T1" s="1" t="s">
        <v>29</v>
      </c>
      <c r="U1" s="40" t="s">
        <v>30</v>
      </c>
      <c r="V1" s="1" t="s">
        <v>31</v>
      </c>
      <c r="W1" s="9" t="s">
        <v>32</v>
      </c>
      <c r="X1" s="9" t="s">
        <v>33</v>
      </c>
      <c r="Y1" s="1" t="s">
        <v>34</v>
      </c>
    </row>
    <row r="2" spans="1:25" ht="16.899999999999999" customHeight="1">
      <c r="C2" s="41"/>
      <c r="F2"/>
      <c r="G2" s="43"/>
      <c r="H2" s="31"/>
      <c r="I2" s="1"/>
      <c r="J2" s="44">
        <f>SUMIFS(H:H,B:B,J1)</f>
        <v>1207770</v>
      </c>
      <c r="K2" s="45">
        <f>SUMIFS($H$6:$H$1048576,B$6:B$1048576,K1)</f>
        <v>712095</v>
      </c>
      <c r="L2" s="45">
        <f>SUMIFS($H$6:$H$1048576,B$6:B$1048576,L1)</f>
        <v>0</v>
      </c>
      <c r="M2" s="45">
        <f>SUMIFS($H$6:$H$1048576,B$6:B$1048576,M1)</f>
        <v>0</v>
      </c>
      <c r="N2" s="45">
        <f>SUMIFS($H$6:$H$1048576,B$6:B$1048576,N1)</f>
        <v>0</v>
      </c>
      <c r="O2" s="45">
        <f>SUMIFS($H$6:$H$1048576,B$6:B$1048576,O1)</f>
        <v>0</v>
      </c>
      <c r="S2" s="46">
        <f>SUMIFS(H:H,I:I,S1)</f>
        <v>970140</v>
      </c>
      <c r="T2" s="46">
        <f>SUMIFS(H:H,I:I,T1)</f>
        <v>0</v>
      </c>
      <c r="U2" s="46">
        <f>SUMIFS(H:H,I:I,U1)</f>
        <v>0</v>
      </c>
      <c r="V2" s="46">
        <f>SUMIFS(H:H,I:I,V1)</f>
        <v>0</v>
      </c>
      <c r="W2" s="46">
        <f>SUMIFS(H:H,I:I,W1)</f>
        <v>52000</v>
      </c>
      <c r="X2" s="46">
        <f>SUMIFS(H:H,I:I,X1)</f>
        <v>163300</v>
      </c>
      <c r="Y2" s="46">
        <f>SUMIFS(H:H,I:I,Y1)</f>
        <v>45560</v>
      </c>
    </row>
    <row r="3" spans="1:25" ht="18.600000000000001" customHeight="1">
      <c r="F3" s="35"/>
      <c r="I3" s="1"/>
      <c r="J3" s="49" t="s">
        <v>35</v>
      </c>
      <c r="K3" s="1" t="s">
        <v>13</v>
      </c>
      <c r="L3" s="50" t="s">
        <v>14</v>
      </c>
      <c r="M3" s="1" t="s">
        <v>15</v>
      </c>
      <c r="N3" s="10" t="s">
        <v>16</v>
      </c>
      <c r="O3" s="1" t="s">
        <v>17</v>
      </c>
      <c r="P3" s="1"/>
      <c r="R3" s="9" t="s">
        <v>36</v>
      </c>
      <c r="S3" s="46">
        <f>SUMIFS(H:H,D:D,R3)</f>
        <v>0</v>
      </c>
      <c r="T3" s="51"/>
      <c r="U3" s="9" t="s">
        <v>37</v>
      </c>
      <c r="V3" s="16">
        <f>SUMIFS(H:H,I:I,U3)</f>
        <v>0</v>
      </c>
      <c r="W3" s="9" t="s">
        <v>38</v>
      </c>
      <c r="X3" s="9">
        <f>SUMIFS(H:H,I:I,W3)</f>
        <v>14020</v>
      </c>
    </row>
    <row r="4" spans="1:25" ht="15.6" customHeight="1">
      <c r="I4" s="1"/>
      <c r="J4" s="44">
        <f>SUMIFS($H$6:$H$1048576,B$6:B$1048576,J3)</f>
        <v>0</v>
      </c>
      <c r="K4" s="45">
        <f>SUMIFS($H$6:$H$1048576,B$6:B$1048576,K3)</f>
        <v>0</v>
      </c>
      <c r="L4" s="45">
        <f>SUMIFS($H$6:$H$1048576,B$6:B$1048576,L3)</f>
        <v>0</v>
      </c>
      <c r="M4" s="45">
        <f>SUMIFS($H$6:$H$1048576,B$6:B$1048576,M3)</f>
        <v>0</v>
      </c>
      <c r="N4" s="45">
        <f>SUMIFS($H$6:$H$1048576,B$6:B$1048576,N3)</f>
        <v>0</v>
      </c>
      <c r="O4" s="45">
        <f>SUMIFS($H$6:$H$1048576,B$6:B$1048576,O3)</f>
        <v>0</v>
      </c>
    </row>
    <row r="5" spans="1:25" ht="22.15" customHeight="1">
      <c r="B5" s="27" t="s">
        <v>22</v>
      </c>
      <c r="D5" s="27" t="s">
        <v>39</v>
      </c>
      <c r="E5" s="53" t="s">
        <v>40</v>
      </c>
      <c r="F5" s="27" t="s">
        <v>23</v>
      </c>
      <c r="G5" s="54" t="s">
        <v>41</v>
      </c>
      <c r="H5" s="55" t="s">
        <v>42</v>
      </c>
      <c r="I5" s="27" t="s">
        <v>43</v>
      </c>
      <c r="J5" s="56" t="s">
        <v>44</v>
      </c>
    </row>
    <row r="6" spans="1:25" ht="15" customHeight="1">
      <c r="A6" s="9">
        <v>1</v>
      </c>
      <c r="B6" s="1" t="s">
        <v>1</v>
      </c>
      <c r="C6" s="41">
        <v>2</v>
      </c>
      <c r="D6" s="1" t="s">
        <v>45</v>
      </c>
      <c r="E6" s="42" t="s">
        <v>46</v>
      </c>
      <c r="F6">
        <v>50</v>
      </c>
      <c r="G6">
        <f t="shared" ref="G6:G78" si="0">H6/F6</f>
        <v>156</v>
      </c>
      <c r="H6" s="31">
        <v>7800</v>
      </c>
      <c r="I6" s="57" t="s">
        <v>28</v>
      </c>
    </row>
    <row r="7" spans="1:25" ht="15" customHeight="1">
      <c r="A7" s="9">
        <v>2</v>
      </c>
      <c r="B7" s="1" t="s">
        <v>1</v>
      </c>
      <c r="C7" s="41">
        <v>2</v>
      </c>
      <c r="D7" s="1" t="s">
        <v>47</v>
      </c>
      <c r="E7" t="s">
        <v>48</v>
      </c>
      <c r="F7">
        <v>600</v>
      </c>
      <c r="G7">
        <f t="shared" si="0"/>
        <v>78</v>
      </c>
      <c r="H7" s="31">
        <v>46800</v>
      </c>
      <c r="I7" s="57" t="s">
        <v>28</v>
      </c>
      <c r="K7"/>
    </row>
    <row r="8" spans="1:25" ht="15" customHeight="1">
      <c r="A8" s="9">
        <v>3</v>
      </c>
      <c r="B8" s="1" t="s">
        <v>1</v>
      </c>
      <c r="C8" s="41">
        <v>3</v>
      </c>
      <c r="D8" s="1" t="s">
        <v>45</v>
      </c>
      <c r="E8" s="42" t="s">
        <v>49</v>
      </c>
      <c r="F8">
        <v>40</v>
      </c>
      <c r="G8">
        <f t="shared" si="0"/>
        <v>195</v>
      </c>
      <c r="H8" s="31">
        <v>7800</v>
      </c>
      <c r="I8" s="57" t="s">
        <v>28</v>
      </c>
      <c r="J8"/>
      <c r="K8"/>
    </row>
    <row r="9" spans="1:25" ht="15" customHeight="1">
      <c r="A9" s="9">
        <v>4</v>
      </c>
      <c r="B9" s="1" t="s">
        <v>1</v>
      </c>
      <c r="C9" s="41">
        <v>3</v>
      </c>
      <c r="D9" s="1" t="s">
        <v>45</v>
      </c>
      <c r="E9" s="42" t="s">
        <v>50</v>
      </c>
      <c r="F9">
        <v>1</v>
      </c>
      <c r="G9">
        <f t="shared" si="0"/>
        <v>150</v>
      </c>
      <c r="H9" s="31">
        <v>150</v>
      </c>
      <c r="I9" s="57" t="s">
        <v>28</v>
      </c>
      <c r="J9"/>
      <c r="K9"/>
    </row>
    <row r="10" spans="1:25" ht="15" customHeight="1">
      <c r="A10" s="9">
        <v>5</v>
      </c>
      <c r="B10" s="1" t="s">
        <v>1</v>
      </c>
      <c r="C10" s="41">
        <v>3</v>
      </c>
      <c r="D10" s="1" t="s">
        <v>45</v>
      </c>
      <c r="E10" s="42" t="s">
        <v>51</v>
      </c>
      <c r="F10">
        <v>35</v>
      </c>
      <c r="G10">
        <f t="shared" si="0"/>
        <v>6</v>
      </c>
      <c r="H10" s="31">
        <v>210</v>
      </c>
      <c r="I10" s="57" t="s">
        <v>28</v>
      </c>
      <c r="J10"/>
    </row>
    <row r="11" spans="1:25" ht="15" customHeight="1">
      <c r="A11" s="9">
        <v>5</v>
      </c>
      <c r="B11" s="1" t="s">
        <v>1</v>
      </c>
      <c r="C11" s="41">
        <v>4</v>
      </c>
      <c r="D11" s="1" t="s">
        <v>45</v>
      </c>
      <c r="E11" s="42" t="s">
        <v>52</v>
      </c>
      <c r="F11">
        <v>50</v>
      </c>
      <c r="G11">
        <f t="shared" si="0"/>
        <v>50</v>
      </c>
      <c r="H11" s="31">
        <v>2500</v>
      </c>
      <c r="I11" s="57" t="s">
        <v>28</v>
      </c>
      <c r="J11"/>
    </row>
    <row r="12" spans="1:25" ht="15" customHeight="1">
      <c r="A12" s="9">
        <v>6</v>
      </c>
      <c r="B12" s="1" t="s">
        <v>1</v>
      </c>
      <c r="C12" s="41">
        <v>4</v>
      </c>
      <c r="D12" s="1" t="s">
        <v>45</v>
      </c>
      <c r="E12" s="42" t="s">
        <v>53</v>
      </c>
      <c r="F12">
        <v>130</v>
      </c>
      <c r="G12">
        <f t="shared" si="0"/>
        <v>17.692307692307693</v>
      </c>
      <c r="H12" s="31">
        <v>2300</v>
      </c>
      <c r="I12" s="57" t="s">
        <v>28</v>
      </c>
      <c r="J12"/>
    </row>
    <row r="13" spans="1:25" ht="15" customHeight="1">
      <c r="A13" s="9">
        <v>7</v>
      </c>
      <c r="B13" s="1" t="s">
        <v>1</v>
      </c>
      <c r="C13" s="41">
        <v>4</v>
      </c>
      <c r="D13" s="1" t="s">
        <v>45</v>
      </c>
      <c r="E13" s="42" t="s">
        <v>54</v>
      </c>
      <c r="F13">
        <v>5</v>
      </c>
      <c r="G13">
        <f t="shared" si="0"/>
        <v>150</v>
      </c>
      <c r="H13" s="31">
        <v>750</v>
      </c>
      <c r="I13" s="57" t="s">
        <v>28</v>
      </c>
      <c r="J13"/>
      <c r="K13"/>
    </row>
    <row r="14" spans="1:25" ht="15" customHeight="1">
      <c r="A14" s="9">
        <v>8</v>
      </c>
      <c r="B14" s="1" t="s">
        <v>1</v>
      </c>
      <c r="C14" s="41">
        <v>4</v>
      </c>
      <c r="D14" s="1" t="s">
        <v>45</v>
      </c>
      <c r="E14" s="42" t="s">
        <v>50</v>
      </c>
      <c r="F14">
        <v>1</v>
      </c>
      <c r="G14">
        <f t="shared" si="0"/>
        <v>350</v>
      </c>
      <c r="H14" s="31">
        <v>350</v>
      </c>
      <c r="I14" s="57" t="s">
        <v>28</v>
      </c>
      <c r="J14"/>
      <c r="K14"/>
    </row>
    <row r="15" spans="1:25" ht="15" customHeight="1">
      <c r="A15" s="9">
        <v>9</v>
      </c>
      <c r="B15" s="1" t="s">
        <v>1</v>
      </c>
      <c r="C15" s="41">
        <v>5</v>
      </c>
      <c r="D15" s="1" t="s">
        <v>45</v>
      </c>
      <c r="E15" s="42" t="s">
        <v>55</v>
      </c>
      <c r="F15">
        <v>200</v>
      </c>
      <c r="G15">
        <f t="shared" si="0"/>
        <v>9</v>
      </c>
      <c r="H15" s="31">
        <v>1800</v>
      </c>
      <c r="I15" s="57" t="s">
        <v>28</v>
      </c>
      <c r="J15"/>
      <c r="K15"/>
    </row>
    <row r="16" spans="1:25" ht="15" customHeight="1">
      <c r="A16" s="9">
        <v>10</v>
      </c>
      <c r="B16" s="1" t="s">
        <v>1</v>
      </c>
      <c r="C16" s="41">
        <v>5</v>
      </c>
      <c r="D16" s="1" t="s">
        <v>45</v>
      </c>
      <c r="E16" s="42" t="s">
        <v>51</v>
      </c>
      <c r="F16">
        <v>1</v>
      </c>
      <c r="G16">
        <f t="shared" si="0"/>
        <v>80</v>
      </c>
      <c r="H16" s="31">
        <v>80</v>
      </c>
      <c r="I16" s="57" t="s">
        <v>28</v>
      </c>
      <c r="J16"/>
      <c r="K16"/>
    </row>
    <row r="17" spans="1:11" ht="15" customHeight="1">
      <c r="A17" s="9">
        <v>11</v>
      </c>
      <c r="B17" s="1" t="s">
        <v>1</v>
      </c>
      <c r="C17" s="41">
        <v>5</v>
      </c>
      <c r="D17" s="1" t="s">
        <v>45</v>
      </c>
      <c r="E17" s="42" t="s">
        <v>50</v>
      </c>
      <c r="F17">
        <v>1</v>
      </c>
      <c r="G17">
        <f t="shared" si="0"/>
        <v>200</v>
      </c>
      <c r="H17" s="31">
        <v>200</v>
      </c>
      <c r="I17" s="57" t="s">
        <v>28</v>
      </c>
      <c r="J17"/>
      <c r="K17"/>
    </row>
    <row r="18" spans="1:11" ht="15" customHeight="1">
      <c r="A18" s="9">
        <v>12</v>
      </c>
      <c r="B18" s="1" t="s">
        <v>1</v>
      </c>
      <c r="C18" s="41">
        <v>6</v>
      </c>
      <c r="D18" s="1" t="s">
        <v>45</v>
      </c>
      <c r="E18" s="42" t="s">
        <v>55</v>
      </c>
      <c r="F18">
        <v>300</v>
      </c>
      <c r="G18">
        <f t="shared" si="0"/>
        <v>9</v>
      </c>
      <c r="H18" s="31">
        <v>2700</v>
      </c>
      <c r="I18" s="57" t="s">
        <v>28</v>
      </c>
      <c r="J18"/>
      <c r="K18"/>
    </row>
    <row r="19" spans="1:11" ht="15" customHeight="1">
      <c r="A19" s="9">
        <v>13</v>
      </c>
      <c r="B19" s="1" t="s">
        <v>1</v>
      </c>
      <c r="C19" s="41">
        <v>6</v>
      </c>
      <c r="D19" s="1" t="s">
        <v>45</v>
      </c>
      <c r="E19" s="42" t="s">
        <v>56</v>
      </c>
      <c r="F19">
        <v>31</v>
      </c>
      <c r="G19">
        <f t="shared" si="0"/>
        <v>40</v>
      </c>
      <c r="H19" s="31">
        <v>1240</v>
      </c>
      <c r="I19" s="57" t="s">
        <v>28</v>
      </c>
      <c r="J19"/>
      <c r="K19"/>
    </row>
    <row r="20" spans="1:11" ht="15" customHeight="1">
      <c r="A20" s="9">
        <v>14</v>
      </c>
      <c r="B20" s="1" t="s">
        <v>1</v>
      </c>
      <c r="C20" s="41">
        <v>6</v>
      </c>
      <c r="D20" s="1" t="s">
        <v>45</v>
      </c>
      <c r="E20" s="42" t="s">
        <v>50</v>
      </c>
      <c r="F20">
        <v>1</v>
      </c>
      <c r="G20">
        <f t="shared" si="0"/>
        <v>250</v>
      </c>
      <c r="H20" s="31">
        <v>250</v>
      </c>
      <c r="I20" s="57" t="s">
        <v>28</v>
      </c>
      <c r="J20"/>
      <c r="K20"/>
    </row>
    <row r="21" spans="1:11" ht="15" customHeight="1">
      <c r="A21" s="9">
        <v>15</v>
      </c>
      <c r="B21" s="1" t="s">
        <v>1</v>
      </c>
      <c r="C21" s="41">
        <v>7</v>
      </c>
      <c r="D21" s="1" t="s">
        <v>45</v>
      </c>
      <c r="E21" s="42" t="s">
        <v>57</v>
      </c>
      <c r="F21">
        <v>47</v>
      </c>
      <c r="G21">
        <f t="shared" si="0"/>
        <v>200</v>
      </c>
      <c r="H21" s="31">
        <v>9400</v>
      </c>
      <c r="I21" s="57" t="s">
        <v>28</v>
      </c>
      <c r="J21"/>
      <c r="K21"/>
    </row>
    <row r="22" spans="1:11" ht="15" customHeight="1">
      <c r="A22" s="9">
        <v>16</v>
      </c>
      <c r="B22" s="1" t="s">
        <v>1</v>
      </c>
      <c r="C22" s="41">
        <v>7</v>
      </c>
      <c r="D22" s="1" t="s">
        <v>45</v>
      </c>
      <c r="E22" s="42" t="s">
        <v>58</v>
      </c>
      <c r="F22">
        <v>50</v>
      </c>
      <c r="G22">
        <f t="shared" si="0"/>
        <v>34</v>
      </c>
      <c r="H22" s="31">
        <v>1700</v>
      </c>
      <c r="I22" s="57" t="s">
        <v>28</v>
      </c>
      <c r="J22"/>
      <c r="K22"/>
    </row>
    <row r="23" spans="1:11" ht="15" customHeight="1">
      <c r="A23" s="9">
        <v>17</v>
      </c>
      <c r="B23" s="1" t="s">
        <v>1</v>
      </c>
      <c r="C23" s="41">
        <v>7</v>
      </c>
      <c r="D23" s="1" t="s">
        <v>45</v>
      </c>
      <c r="E23" s="42" t="s">
        <v>51</v>
      </c>
      <c r="F23">
        <v>2</v>
      </c>
      <c r="G23">
        <f t="shared" si="0"/>
        <v>75</v>
      </c>
      <c r="H23" s="31">
        <v>150</v>
      </c>
      <c r="I23" s="57" t="s">
        <v>28</v>
      </c>
      <c r="J23"/>
      <c r="K23"/>
    </row>
    <row r="24" spans="1:11" ht="15" customHeight="1">
      <c r="A24" s="9">
        <v>18</v>
      </c>
      <c r="B24" s="1" t="s">
        <v>1</v>
      </c>
      <c r="C24" s="41">
        <v>7</v>
      </c>
      <c r="D24" s="1" t="s">
        <v>45</v>
      </c>
      <c r="E24" s="42" t="s">
        <v>59</v>
      </c>
      <c r="F24">
        <v>5</v>
      </c>
      <c r="G24">
        <f t="shared" si="0"/>
        <v>230</v>
      </c>
      <c r="H24" s="31">
        <v>1150</v>
      </c>
      <c r="I24" s="57" t="s">
        <v>28</v>
      </c>
      <c r="J24"/>
      <c r="K24"/>
    </row>
    <row r="25" spans="1:11" ht="15" customHeight="1">
      <c r="A25" s="9">
        <v>19</v>
      </c>
      <c r="B25" s="1" t="s">
        <v>1</v>
      </c>
      <c r="C25" s="41">
        <v>7</v>
      </c>
      <c r="D25" s="1" t="s">
        <v>45</v>
      </c>
      <c r="E25" s="42" t="s">
        <v>50</v>
      </c>
      <c r="F25">
        <v>1</v>
      </c>
      <c r="G25">
        <f t="shared" si="0"/>
        <v>700</v>
      </c>
      <c r="H25" s="31">
        <v>700</v>
      </c>
      <c r="I25" s="57" t="s">
        <v>28</v>
      </c>
      <c r="J25"/>
      <c r="K25"/>
    </row>
    <row r="26" spans="1:11" ht="15" customHeight="1">
      <c r="A26" s="9">
        <v>20</v>
      </c>
      <c r="B26" s="1" t="s">
        <v>1</v>
      </c>
      <c r="C26" s="41">
        <v>7</v>
      </c>
      <c r="D26" s="1" t="s">
        <v>45</v>
      </c>
      <c r="E26" s="42" t="s">
        <v>46</v>
      </c>
      <c r="F26">
        <v>50</v>
      </c>
      <c r="G26">
        <v>50</v>
      </c>
      <c r="H26" s="31">
        <v>7200</v>
      </c>
      <c r="I26" s="57" t="s">
        <v>28</v>
      </c>
      <c r="J26"/>
      <c r="K26"/>
    </row>
    <row r="27" spans="1:11" ht="15" customHeight="1">
      <c r="A27" s="9">
        <v>21</v>
      </c>
      <c r="B27" s="1" t="s">
        <v>1</v>
      </c>
      <c r="C27" s="41">
        <v>7</v>
      </c>
      <c r="D27" s="1" t="s">
        <v>45</v>
      </c>
      <c r="E27" s="42" t="s">
        <v>49</v>
      </c>
      <c r="F27">
        <v>40</v>
      </c>
      <c r="G27">
        <f t="shared" si="0"/>
        <v>191.75</v>
      </c>
      <c r="H27" s="31">
        <v>7670</v>
      </c>
      <c r="I27" s="57" t="s">
        <v>28</v>
      </c>
      <c r="J27"/>
      <c r="K27"/>
    </row>
    <row r="28" spans="1:11" ht="15" customHeight="1">
      <c r="A28" s="9">
        <v>22</v>
      </c>
      <c r="B28" s="1" t="s">
        <v>1</v>
      </c>
      <c r="C28" s="41">
        <v>7</v>
      </c>
      <c r="D28" s="1" t="s">
        <v>45</v>
      </c>
      <c r="E28" s="42" t="s">
        <v>60</v>
      </c>
      <c r="F28">
        <v>2</v>
      </c>
      <c r="G28">
        <f t="shared" si="0"/>
        <v>1300</v>
      </c>
      <c r="H28" s="31">
        <v>2600</v>
      </c>
      <c r="I28" s="57" t="s">
        <v>28</v>
      </c>
      <c r="J28"/>
      <c r="K28"/>
    </row>
    <row r="29" spans="1:11" ht="15" customHeight="1">
      <c r="A29" s="9">
        <v>23</v>
      </c>
      <c r="B29" s="1" t="s">
        <v>1</v>
      </c>
      <c r="C29" s="41">
        <v>7</v>
      </c>
      <c r="D29" s="1" t="s">
        <v>45</v>
      </c>
      <c r="E29" s="42" t="s">
        <v>61</v>
      </c>
      <c r="F29">
        <v>2</v>
      </c>
      <c r="G29">
        <f t="shared" si="0"/>
        <v>800</v>
      </c>
      <c r="H29" s="31">
        <v>1600</v>
      </c>
      <c r="I29" s="57" t="s">
        <v>28</v>
      </c>
      <c r="J29"/>
      <c r="K29"/>
    </row>
    <row r="30" spans="1:11" ht="15" customHeight="1">
      <c r="A30" s="9">
        <v>24</v>
      </c>
      <c r="B30" s="1" t="s">
        <v>1</v>
      </c>
      <c r="C30" s="41">
        <v>7</v>
      </c>
      <c r="D30" s="1" t="s">
        <v>45</v>
      </c>
      <c r="E30" s="42" t="s">
        <v>62</v>
      </c>
      <c r="F30">
        <v>2</v>
      </c>
      <c r="G30">
        <f t="shared" si="0"/>
        <v>540</v>
      </c>
      <c r="H30" s="31">
        <v>1080</v>
      </c>
      <c r="I30" s="57" t="s">
        <v>28</v>
      </c>
      <c r="J30"/>
      <c r="K30"/>
    </row>
    <row r="31" spans="1:11" ht="15" customHeight="1">
      <c r="A31" s="9">
        <v>25</v>
      </c>
      <c r="B31" s="1" t="s">
        <v>1</v>
      </c>
      <c r="C31" s="41">
        <v>7</v>
      </c>
      <c r="D31" s="1" t="s">
        <v>45</v>
      </c>
      <c r="E31" s="42" t="s">
        <v>63</v>
      </c>
      <c r="F31">
        <v>2</v>
      </c>
      <c r="G31">
        <f t="shared" si="0"/>
        <v>1250</v>
      </c>
      <c r="H31" s="31">
        <v>2500</v>
      </c>
      <c r="I31" s="57" t="s">
        <v>28</v>
      </c>
      <c r="J31"/>
      <c r="K31"/>
    </row>
    <row r="32" spans="1:11" ht="15" customHeight="1">
      <c r="A32" s="9">
        <v>26</v>
      </c>
      <c r="B32" s="1" t="s">
        <v>1</v>
      </c>
      <c r="C32" s="41">
        <v>7</v>
      </c>
      <c r="D32" s="1" t="s">
        <v>45</v>
      </c>
      <c r="E32" s="42" t="s">
        <v>64</v>
      </c>
      <c r="F32">
        <v>17</v>
      </c>
      <c r="G32">
        <f t="shared" si="0"/>
        <v>105.88235294117646</v>
      </c>
      <c r="H32" s="31">
        <v>1800</v>
      </c>
      <c r="I32" s="57" t="s">
        <v>28</v>
      </c>
      <c r="J32"/>
      <c r="K32"/>
    </row>
    <row r="33" spans="1:11" ht="15" customHeight="1">
      <c r="A33" s="9">
        <v>27</v>
      </c>
      <c r="B33" s="1" t="s">
        <v>1</v>
      </c>
      <c r="C33" s="41">
        <v>8</v>
      </c>
      <c r="D33" s="1" t="s">
        <v>45</v>
      </c>
      <c r="E33" s="42" t="s">
        <v>65</v>
      </c>
      <c r="F33">
        <v>61</v>
      </c>
      <c r="G33">
        <f t="shared" si="0"/>
        <v>374.91803278688525</v>
      </c>
      <c r="H33" s="31">
        <v>22870</v>
      </c>
      <c r="I33" s="57" t="s">
        <v>28</v>
      </c>
      <c r="J33"/>
      <c r="K33"/>
    </row>
    <row r="34" spans="1:11" ht="15" customHeight="1">
      <c r="A34" s="9">
        <v>28</v>
      </c>
      <c r="B34" s="1" t="s">
        <v>1</v>
      </c>
      <c r="C34" s="41">
        <v>8</v>
      </c>
      <c r="D34" s="1" t="s">
        <v>45</v>
      </c>
      <c r="E34" s="42" t="s">
        <v>53</v>
      </c>
      <c r="F34">
        <v>130</v>
      </c>
      <c r="G34">
        <f t="shared" si="0"/>
        <v>16.923076923076923</v>
      </c>
      <c r="H34" s="31">
        <v>2200</v>
      </c>
      <c r="I34" s="57" t="s">
        <v>28</v>
      </c>
      <c r="J34"/>
      <c r="K34"/>
    </row>
    <row r="35" spans="1:11" ht="15" customHeight="1">
      <c r="A35" s="9">
        <v>29</v>
      </c>
      <c r="B35" s="1" t="s">
        <v>1</v>
      </c>
      <c r="C35" s="41">
        <v>8</v>
      </c>
      <c r="D35" s="1" t="s">
        <v>45</v>
      </c>
      <c r="E35" s="42" t="s">
        <v>66</v>
      </c>
      <c r="F35">
        <v>40</v>
      </c>
      <c r="G35">
        <f t="shared" si="0"/>
        <v>37</v>
      </c>
      <c r="H35" s="31">
        <v>1480</v>
      </c>
      <c r="I35" s="57" t="s">
        <v>28</v>
      </c>
      <c r="J35"/>
      <c r="K35"/>
    </row>
    <row r="36" spans="1:11" ht="15" customHeight="1">
      <c r="A36" s="9">
        <v>30</v>
      </c>
      <c r="B36" s="1" t="s">
        <v>1</v>
      </c>
      <c r="C36" s="41">
        <v>8</v>
      </c>
      <c r="D36" s="1" t="s">
        <v>45</v>
      </c>
      <c r="E36" s="42" t="s">
        <v>54</v>
      </c>
      <c r="F36">
        <v>20</v>
      </c>
      <c r="G36">
        <f t="shared" si="0"/>
        <v>120</v>
      </c>
      <c r="H36" s="31">
        <v>2400</v>
      </c>
      <c r="I36" s="57" t="s">
        <v>28</v>
      </c>
      <c r="J36"/>
      <c r="K36"/>
    </row>
    <row r="37" spans="1:11" ht="15" customHeight="1">
      <c r="A37" s="9">
        <v>31</v>
      </c>
      <c r="B37" s="1" t="s">
        <v>1</v>
      </c>
      <c r="C37" s="41">
        <v>8</v>
      </c>
      <c r="D37" s="1" t="s">
        <v>45</v>
      </c>
      <c r="E37" s="42" t="s">
        <v>67</v>
      </c>
      <c r="F37">
        <v>20</v>
      </c>
      <c r="G37">
        <f t="shared" si="0"/>
        <v>170</v>
      </c>
      <c r="H37" s="31">
        <v>3400</v>
      </c>
      <c r="I37" s="57" t="s">
        <v>28</v>
      </c>
      <c r="J37"/>
      <c r="K37"/>
    </row>
    <row r="38" spans="1:11" ht="15" customHeight="1">
      <c r="A38" s="9">
        <v>32</v>
      </c>
      <c r="B38" s="1" t="s">
        <v>1</v>
      </c>
      <c r="C38" s="41">
        <v>8</v>
      </c>
      <c r="D38" s="1" t="s">
        <v>45</v>
      </c>
      <c r="E38" s="42" t="s">
        <v>50</v>
      </c>
      <c r="F38">
        <v>1</v>
      </c>
      <c r="G38">
        <f t="shared" si="0"/>
        <v>700</v>
      </c>
      <c r="H38" s="31">
        <v>700</v>
      </c>
      <c r="I38" s="57" t="s">
        <v>28</v>
      </c>
      <c r="J38"/>
      <c r="K38"/>
    </row>
    <row r="39" spans="1:11" ht="15" customHeight="1">
      <c r="A39" s="9">
        <v>34</v>
      </c>
      <c r="B39" s="1" t="s">
        <v>1</v>
      </c>
      <c r="C39" s="41">
        <v>9</v>
      </c>
      <c r="D39" s="1" t="s">
        <v>45</v>
      </c>
      <c r="E39" s="42" t="s">
        <v>68</v>
      </c>
      <c r="F39">
        <v>185</v>
      </c>
      <c r="G39">
        <f t="shared" si="0"/>
        <v>25.405405405405407</v>
      </c>
      <c r="H39" s="31">
        <v>4700</v>
      </c>
      <c r="I39"/>
      <c r="J39"/>
      <c r="K39"/>
    </row>
    <row r="40" spans="1:11" ht="15" customHeight="1">
      <c r="A40" s="9">
        <v>35</v>
      </c>
      <c r="B40" s="1" t="s">
        <v>1</v>
      </c>
      <c r="C40" s="41">
        <v>9</v>
      </c>
      <c r="D40" s="1" t="s">
        <v>45</v>
      </c>
      <c r="E40" s="42" t="s">
        <v>69</v>
      </c>
      <c r="F40">
        <v>1</v>
      </c>
      <c r="G40">
        <f t="shared" si="0"/>
        <v>500</v>
      </c>
      <c r="H40" s="31">
        <v>500</v>
      </c>
      <c r="I40"/>
      <c r="J40"/>
      <c r="K40"/>
    </row>
    <row r="41" spans="1:11" ht="15" customHeight="1">
      <c r="A41" s="9">
        <v>37</v>
      </c>
      <c r="B41" s="1" t="s">
        <v>1</v>
      </c>
      <c r="C41" s="41">
        <v>9</v>
      </c>
      <c r="D41" s="1" t="s">
        <v>45</v>
      </c>
      <c r="E41" s="42" t="s">
        <v>32</v>
      </c>
      <c r="F41">
        <v>500</v>
      </c>
      <c r="G41">
        <f t="shared" si="0"/>
        <v>9</v>
      </c>
      <c r="H41" s="31">
        <v>4500</v>
      </c>
      <c r="I41" t="s">
        <v>28</v>
      </c>
      <c r="J41"/>
      <c r="K41"/>
    </row>
    <row r="42" spans="1:11" ht="15" customHeight="1">
      <c r="A42" s="9">
        <v>38</v>
      </c>
      <c r="B42" s="1" t="s">
        <v>1</v>
      </c>
      <c r="C42" s="41">
        <v>9</v>
      </c>
      <c r="D42" s="1" t="s">
        <v>45</v>
      </c>
      <c r="E42" s="42" t="s">
        <v>53</v>
      </c>
      <c r="F42">
        <v>260</v>
      </c>
      <c r="G42">
        <f t="shared" si="0"/>
        <v>18.076923076923077</v>
      </c>
      <c r="H42" s="31">
        <v>4700</v>
      </c>
      <c r="I42" t="s">
        <v>28</v>
      </c>
      <c r="J42"/>
      <c r="K42"/>
    </row>
    <row r="43" spans="1:11" ht="15" customHeight="1">
      <c r="A43" s="9">
        <v>39</v>
      </c>
      <c r="B43" s="1" t="s">
        <v>1</v>
      </c>
      <c r="C43" s="41">
        <v>9</v>
      </c>
      <c r="D43" s="1" t="s">
        <v>45</v>
      </c>
      <c r="E43" s="42" t="s">
        <v>51</v>
      </c>
      <c r="F43">
        <v>2</v>
      </c>
      <c r="G43">
        <f t="shared" si="0"/>
        <v>75</v>
      </c>
      <c r="H43" s="31">
        <v>150</v>
      </c>
      <c r="I43" t="s">
        <v>28</v>
      </c>
      <c r="J43"/>
    </row>
    <row r="44" spans="1:11" ht="15" customHeight="1">
      <c r="A44" s="9">
        <v>40</v>
      </c>
      <c r="B44" s="1" t="s">
        <v>1</v>
      </c>
      <c r="C44" s="41">
        <v>9</v>
      </c>
      <c r="D44" s="1" t="s">
        <v>45</v>
      </c>
      <c r="E44" s="42" t="s">
        <v>56</v>
      </c>
      <c r="F44">
        <v>80</v>
      </c>
      <c r="G44">
        <f t="shared" si="0"/>
        <v>40</v>
      </c>
      <c r="H44" s="31">
        <v>3200</v>
      </c>
      <c r="I44" t="s">
        <v>28</v>
      </c>
      <c r="J44"/>
    </row>
    <row r="45" spans="1:11" ht="15" customHeight="1">
      <c r="A45" s="9">
        <v>41</v>
      </c>
      <c r="B45" s="1" t="s">
        <v>1</v>
      </c>
      <c r="C45" s="41">
        <v>9</v>
      </c>
      <c r="D45" s="1" t="s">
        <v>45</v>
      </c>
      <c r="E45" s="42" t="s">
        <v>50</v>
      </c>
      <c r="F45">
        <v>1</v>
      </c>
      <c r="G45">
        <f t="shared" si="0"/>
        <v>400</v>
      </c>
      <c r="H45" s="31">
        <v>400</v>
      </c>
      <c r="I45" t="s">
        <v>28</v>
      </c>
      <c r="J45"/>
    </row>
    <row r="46" spans="1:11" ht="15" customHeight="1">
      <c r="A46" s="9">
        <v>42</v>
      </c>
      <c r="B46" s="1" t="s">
        <v>1</v>
      </c>
      <c r="C46" s="41">
        <v>10</v>
      </c>
      <c r="D46" s="1" t="s">
        <v>45</v>
      </c>
      <c r="E46" s="42" t="s">
        <v>65</v>
      </c>
      <c r="F46">
        <v>62</v>
      </c>
      <c r="G46">
        <f t="shared" si="0"/>
        <v>380</v>
      </c>
      <c r="H46" s="31">
        <v>23560</v>
      </c>
      <c r="I46" t="s">
        <v>28</v>
      </c>
      <c r="J46"/>
    </row>
    <row r="47" spans="1:11" ht="15" customHeight="1">
      <c r="A47" s="9">
        <v>43</v>
      </c>
      <c r="B47" s="1" t="s">
        <v>1</v>
      </c>
      <c r="C47" s="41">
        <v>10</v>
      </c>
      <c r="D47" s="1" t="s">
        <v>45</v>
      </c>
      <c r="E47" s="42" t="s">
        <v>51</v>
      </c>
      <c r="F47">
        <v>2</v>
      </c>
      <c r="G47">
        <f t="shared" si="0"/>
        <v>75</v>
      </c>
      <c r="H47" s="31">
        <v>150</v>
      </c>
      <c r="I47" t="s">
        <v>28</v>
      </c>
      <c r="J47"/>
    </row>
    <row r="48" spans="1:11" ht="15" customHeight="1">
      <c r="A48" s="9">
        <v>44</v>
      </c>
      <c r="B48" s="1" t="s">
        <v>1</v>
      </c>
      <c r="C48" s="41">
        <v>10</v>
      </c>
      <c r="D48" s="1" t="s">
        <v>45</v>
      </c>
      <c r="E48" s="42" t="s">
        <v>52</v>
      </c>
      <c r="F48">
        <v>50</v>
      </c>
      <c r="G48">
        <f t="shared" si="0"/>
        <v>49</v>
      </c>
      <c r="H48" s="31">
        <v>2450</v>
      </c>
      <c r="I48" t="s">
        <v>28</v>
      </c>
      <c r="J48"/>
    </row>
    <row r="49" spans="1:12" ht="15" customHeight="1">
      <c r="A49" s="9">
        <v>37</v>
      </c>
      <c r="B49" s="1" t="s">
        <v>1</v>
      </c>
      <c r="C49" s="41">
        <v>10</v>
      </c>
      <c r="D49" s="1" t="s">
        <v>45</v>
      </c>
      <c r="E49" s="9" t="s">
        <v>50</v>
      </c>
      <c r="F49" s="9">
        <v>1</v>
      </c>
      <c r="G49" s="9">
        <f t="shared" si="0"/>
        <v>500</v>
      </c>
      <c r="H49" s="16">
        <v>500</v>
      </c>
      <c r="I49" t="s">
        <v>28</v>
      </c>
      <c r="J49"/>
    </row>
    <row r="50" spans="1:12" ht="15" customHeight="1">
      <c r="A50" s="9">
        <v>38</v>
      </c>
      <c r="B50" s="1" t="s">
        <v>1</v>
      </c>
      <c r="C50" s="41">
        <v>11</v>
      </c>
      <c r="D50" s="1" t="s">
        <v>45</v>
      </c>
      <c r="E50" s="42" t="s">
        <v>68</v>
      </c>
      <c r="F50">
        <v>249</v>
      </c>
      <c r="G50">
        <f>H50/F50</f>
        <v>25.020080321285139</v>
      </c>
      <c r="H50" s="31">
        <v>6230</v>
      </c>
      <c r="J50"/>
    </row>
    <row r="51" spans="1:12" ht="15" customHeight="1">
      <c r="A51" s="9">
        <v>39</v>
      </c>
      <c r="B51" s="1" t="s">
        <v>1</v>
      </c>
      <c r="C51" s="41">
        <v>11</v>
      </c>
      <c r="D51" s="1" t="s">
        <v>45</v>
      </c>
      <c r="E51" s="42" t="s">
        <v>32</v>
      </c>
      <c r="F51">
        <v>120</v>
      </c>
      <c r="G51">
        <f>H51/F51</f>
        <v>108.33333333333333</v>
      </c>
      <c r="H51" s="31">
        <v>13000</v>
      </c>
      <c r="I51" s="35" t="s">
        <v>32</v>
      </c>
      <c r="J51"/>
    </row>
    <row r="52" spans="1:12" ht="15" customHeight="1">
      <c r="A52" s="9">
        <v>40</v>
      </c>
      <c r="B52" s="1" t="s">
        <v>1</v>
      </c>
      <c r="C52" s="41">
        <v>11</v>
      </c>
      <c r="D52" s="1" t="s">
        <v>45</v>
      </c>
      <c r="E52" s="42" t="s">
        <v>70</v>
      </c>
      <c r="F52">
        <v>100</v>
      </c>
      <c r="G52">
        <f t="shared" si="0"/>
        <v>63</v>
      </c>
      <c r="H52" s="31">
        <v>6300</v>
      </c>
      <c r="I52" t="s">
        <v>28</v>
      </c>
      <c r="J52"/>
    </row>
    <row r="53" spans="1:12" ht="15" customHeight="1">
      <c r="A53" s="9">
        <v>41</v>
      </c>
      <c r="B53" s="1" t="s">
        <v>1</v>
      </c>
      <c r="C53" s="41">
        <v>11</v>
      </c>
      <c r="D53" s="1" t="s">
        <v>45</v>
      </c>
      <c r="E53" s="42" t="s">
        <v>56</v>
      </c>
      <c r="F53">
        <v>20</v>
      </c>
      <c r="G53">
        <f t="shared" si="0"/>
        <v>52.5</v>
      </c>
      <c r="H53" s="31">
        <v>1050</v>
      </c>
      <c r="I53" t="s">
        <v>28</v>
      </c>
      <c r="J53"/>
    </row>
    <row r="54" spans="1:12" ht="15" customHeight="1">
      <c r="A54" s="9">
        <v>42</v>
      </c>
      <c r="B54" s="1" t="s">
        <v>1</v>
      </c>
      <c r="C54" s="41">
        <v>11</v>
      </c>
      <c r="D54" s="1" t="s">
        <v>45</v>
      </c>
      <c r="E54" s="42" t="s">
        <v>50</v>
      </c>
      <c r="F54">
        <v>1</v>
      </c>
      <c r="G54">
        <f t="shared" si="0"/>
        <v>250</v>
      </c>
      <c r="H54" s="31">
        <v>250</v>
      </c>
      <c r="I54" t="s">
        <v>28</v>
      </c>
      <c r="J54"/>
    </row>
    <row r="55" spans="1:12" ht="15" customHeight="1">
      <c r="A55" s="9">
        <v>43</v>
      </c>
      <c r="B55" s="1" t="s">
        <v>1</v>
      </c>
      <c r="C55" s="41">
        <v>12</v>
      </c>
      <c r="D55" s="1" t="s">
        <v>45</v>
      </c>
      <c r="E55" s="42" t="s">
        <v>68</v>
      </c>
      <c r="F55">
        <v>131</v>
      </c>
      <c r="G55">
        <f>H55/F55</f>
        <v>25</v>
      </c>
      <c r="H55" s="31">
        <v>3275</v>
      </c>
      <c r="J55"/>
    </row>
    <row r="56" spans="1:12" ht="15" customHeight="1">
      <c r="A56" s="9">
        <v>44</v>
      </c>
      <c r="B56" s="1" t="s">
        <v>1</v>
      </c>
      <c r="C56" s="41">
        <v>12</v>
      </c>
      <c r="D56" s="1" t="s">
        <v>45</v>
      </c>
      <c r="E56" s="42" t="s">
        <v>51</v>
      </c>
      <c r="F56">
        <v>2</v>
      </c>
      <c r="G56">
        <f t="shared" si="0"/>
        <v>75</v>
      </c>
      <c r="H56" s="31">
        <v>150</v>
      </c>
      <c r="I56" t="s">
        <v>28</v>
      </c>
      <c r="J56"/>
      <c r="K56"/>
    </row>
    <row r="57" spans="1:12" ht="15" customHeight="1">
      <c r="A57" s="9">
        <v>45</v>
      </c>
      <c r="B57" s="1" t="s">
        <v>1</v>
      </c>
      <c r="C57" s="41">
        <v>12</v>
      </c>
      <c r="D57" s="1" t="s">
        <v>45</v>
      </c>
      <c r="E57" s="42" t="s">
        <v>50</v>
      </c>
      <c r="F57">
        <v>1</v>
      </c>
      <c r="G57">
        <f t="shared" si="0"/>
        <v>100</v>
      </c>
      <c r="H57" s="31">
        <v>100</v>
      </c>
      <c r="I57" t="s">
        <v>28</v>
      </c>
      <c r="J57"/>
      <c r="K57"/>
    </row>
    <row r="58" spans="1:12" ht="15" customHeight="1">
      <c r="A58" s="9">
        <v>46</v>
      </c>
      <c r="B58" s="1" t="s">
        <v>1</v>
      </c>
      <c r="C58" s="41">
        <v>13</v>
      </c>
      <c r="D58" s="1" t="s">
        <v>45</v>
      </c>
      <c r="E58" s="42" t="s">
        <v>65</v>
      </c>
      <c r="F58">
        <v>72</v>
      </c>
      <c r="G58">
        <f t="shared" si="0"/>
        <v>350</v>
      </c>
      <c r="H58" s="31">
        <v>25200</v>
      </c>
      <c r="I58" t="s">
        <v>28</v>
      </c>
      <c r="J58"/>
      <c r="K58"/>
    </row>
    <row r="59" spans="1:12" ht="15" customHeight="1">
      <c r="A59" s="9">
        <v>47</v>
      </c>
      <c r="B59" s="1" t="s">
        <v>1</v>
      </c>
      <c r="C59" s="41">
        <v>13</v>
      </c>
      <c r="D59" s="1" t="s">
        <v>45</v>
      </c>
      <c r="E59" s="42" t="s">
        <v>50</v>
      </c>
      <c r="F59">
        <v>1</v>
      </c>
      <c r="G59">
        <f t="shared" si="0"/>
        <v>300</v>
      </c>
      <c r="H59" s="31">
        <v>300</v>
      </c>
      <c r="I59" t="s">
        <v>28</v>
      </c>
      <c r="J59"/>
      <c r="K59"/>
    </row>
    <row r="60" spans="1:12" ht="15" customHeight="1">
      <c r="A60" s="9">
        <v>48</v>
      </c>
      <c r="B60" s="1" t="s">
        <v>1</v>
      </c>
      <c r="C60" s="41">
        <v>14</v>
      </c>
      <c r="D60" s="1" t="s">
        <v>45</v>
      </c>
      <c r="E60" s="42" t="s">
        <v>57</v>
      </c>
      <c r="F60">
        <v>71.7</v>
      </c>
      <c r="G60">
        <f t="shared" si="0"/>
        <v>205.02092050209205</v>
      </c>
      <c r="H60" s="31">
        <v>14700</v>
      </c>
      <c r="I60" t="s">
        <v>28</v>
      </c>
      <c r="J60"/>
      <c r="K60"/>
    </row>
    <row r="61" spans="1:12" ht="15" customHeight="1">
      <c r="A61" s="9">
        <v>49</v>
      </c>
      <c r="B61" s="1" t="s">
        <v>1</v>
      </c>
      <c r="C61" s="41">
        <v>14</v>
      </c>
      <c r="D61" s="1" t="s">
        <v>45</v>
      </c>
      <c r="E61" s="42" t="s">
        <v>56</v>
      </c>
      <c r="F61">
        <v>20</v>
      </c>
      <c r="G61">
        <f t="shared" si="0"/>
        <v>50</v>
      </c>
      <c r="H61" s="31">
        <v>1000</v>
      </c>
      <c r="I61" t="s">
        <v>28</v>
      </c>
      <c r="J61"/>
      <c r="K61"/>
    </row>
    <row r="62" spans="1:12" ht="15" customHeight="1">
      <c r="A62" s="9">
        <v>49</v>
      </c>
      <c r="B62" s="1" t="s">
        <v>1</v>
      </c>
      <c r="C62" s="41">
        <v>14</v>
      </c>
      <c r="D62" s="1" t="s">
        <v>45</v>
      </c>
      <c r="E62" s="42" t="s">
        <v>71</v>
      </c>
      <c r="F62">
        <v>2</v>
      </c>
      <c r="G62">
        <f t="shared" si="0"/>
        <v>75</v>
      </c>
      <c r="H62" s="31">
        <v>150</v>
      </c>
      <c r="I62" t="s">
        <v>28</v>
      </c>
      <c r="J62"/>
      <c r="K62"/>
    </row>
    <row r="63" spans="1:12" ht="15" customHeight="1">
      <c r="A63" s="9">
        <v>49</v>
      </c>
      <c r="B63" s="1" t="s">
        <v>1</v>
      </c>
      <c r="C63" s="41">
        <v>15</v>
      </c>
      <c r="D63" s="1" t="s">
        <v>45</v>
      </c>
      <c r="E63" s="42" t="s">
        <v>65</v>
      </c>
      <c r="F63">
        <v>83</v>
      </c>
      <c r="G63">
        <f t="shared" si="0"/>
        <v>350</v>
      </c>
      <c r="H63" s="31">
        <v>29050</v>
      </c>
      <c r="I63" t="s">
        <v>28</v>
      </c>
      <c r="J63"/>
      <c r="K63"/>
      <c r="L63"/>
    </row>
    <row r="64" spans="1:12" ht="15" customHeight="1">
      <c r="A64" s="9">
        <v>50</v>
      </c>
      <c r="B64" s="1" t="s">
        <v>1</v>
      </c>
      <c r="C64" s="41">
        <v>15</v>
      </c>
      <c r="D64" s="1" t="s">
        <v>45</v>
      </c>
      <c r="E64" s="42" t="s">
        <v>50</v>
      </c>
      <c r="F64">
        <v>1</v>
      </c>
      <c r="G64">
        <f t="shared" si="0"/>
        <v>500</v>
      </c>
      <c r="H64" s="31">
        <v>500</v>
      </c>
      <c r="I64" t="s">
        <v>28</v>
      </c>
      <c r="J64"/>
      <c r="K64"/>
      <c r="L64"/>
    </row>
    <row r="65" spans="1:12" ht="15" customHeight="1">
      <c r="A65" s="9">
        <v>51</v>
      </c>
      <c r="B65" s="1" t="s">
        <v>1</v>
      </c>
      <c r="C65" s="41">
        <v>15</v>
      </c>
      <c r="D65" s="1" t="s">
        <v>47</v>
      </c>
      <c r="E65" s="42" t="s">
        <v>48</v>
      </c>
      <c r="F65">
        <v>1200</v>
      </c>
      <c r="G65">
        <f t="shared" si="0"/>
        <v>78</v>
      </c>
      <c r="H65" s="31">
        <v>93600</v>
      </c>
      <c r="I65" t="s">
        <v>28</v>
      </c>
      <c r="J65"/>
      <c r="K65"/>
      <c r="L65"/>
    </row>
    <row r="66" spans="1:12" ht="15" customHeight="1">
      <c r="A66" s="9">
        <v>52</v>
      </c>
      <c r="B66" s="1" t="s">
        <v>1</v>
      </c>
      <c r="C66" s="41">
        <v>15</v>
      </c>
      <c r="D66" s="1" t="s">
        <v>47</v>
      </c>
      <c r="E66" s="42" t="s">
        <v>72</v>
      </c>
      <c r="F66">
        <v>300</v>
      </c>
      <c r="G66">
        <f t="shared" si="0"/>
        <v>86</v>
      </c>
      <c r="H66" s="31">
        <v>25800</v>
      </c>
      <c r="I66" t="s">
        <v>28</v>
      </c>
      <c r="J66"/>
      <c r="K66"/>
      <c r="L66"/>
    </row>
    <row r="67" spans="1:12" ht="15" customHeight="1">
      <c r="A67" s="9">
        <v>53</v>
      </c>
      <c r="B67" s="1" t="s">
        <v>1</v>
      </c>
      <c r="C67" s="41">
        <v>15</v>
      </c>
      <c r="D67" s="1" t="s">
        <v>47</v>
      </c>
      <c r="E67" s="42" t="s">
        <v>73</v>
      </c>
      <c r="F67">
        <v>250</v>
      </c>
      <c r="G67">
        <f t="shared" si="0"/>
        <v>140</v>
      </c>
      <c r="H67" s="31">
        <v>35000</v>
      </c>
      <c r="I67" t="s">
        <v>28</v>
      </c>
      <c r="J67"/>
      <c r="K67"/>
      <c r="L67"/>
    </row>
    <row r="68" spans="1:12" ht="15" customHeight="1">
      <c r="A68" s="9">
        <v>54</v>
      </c>
      <c r="B68" s="1" t="s">
        <v>1</v>
      </c>
      <c r="C68" s="41">
        <v>15</v>
      </c>
      <c r="D68" s="1" t="s">
        <v>47</v>
      </c>
      <c r="E68" s="42" t="s">
        <v>74</v>
      </c>
      <c r="F68">
        <v>150</v>
      </c>
      <c r="G68">
        <f t="shared" si="0"/>
        <v>152</v>
      </c>
      <c r="H68" s="31">
        <v>22800</v>
      </c>
      <c r="I68" t="s">
        <v>28</v>
      </c>
      <c r="J68"/>
      <c r="K68"/>
      <c r="L68"/>
    </row>
    <row r="69" spans="1:12" ht="15" customHeight="1">
      <c r="A69" s="9">
        <v>55</v>
      </c>
      <c r="B69" s="1" t="s">
        <v>1</v>
      </c>
      <c r="C69" s="41">
        <v>15</v>
      </c>
      <c r="D69" s="1" t="s">
        <v>47</v>
      </c>
      <c r="E69" s="42" t="s">
        <v>58</v>
      </c>
      <c r="F69">
        <v>60</v>
      </c>
      <c r="G69">
        <f t="shared" si="0"/>
        <v>39.5</v>
      </c>
      <c r="H69" s="31">
        <v>2370</v>
      </c>
      <c r="I69" t="s">
        <v>28</v>
      </c>
      <c r="J69"/>
      <c r="K69"/>
      <c r="L69"/>
    </row>
    <row r="70" spans="1:12" ht="15" customHeight="1">
      <c r="A70" s="9">
        <v>56</v>
      </c>
      <c r="B70" s="1" t="s">
        <v>1</v>
      </c>
      <c r="C70" s="41">
        <v>15</v>
      </c>
      <c r="D70" s="1" t="s">
        <v>47</v>
      </c>
      <c r="E70" s="42" t="s">
        <v>52</v>
      </c>
      <c r="F70">
        <v>150</v>
      </c>
      <c r="G70">
        <f t="shared" si="0"/>
        <v>45</v>
      </c>
      <c r="H70" s="31">
        <v>6750</v>
      </c>
      <c r="I70" t="s">
        <v>28</v>
      </c>
      <c r="J70"/>
      <c r="K70"/>
      <c r="L70"/>
    </row>
    <row r="71" spans="1:12" ht="15" customHeight="1">
      <c r="A71" s="9">
        <v>57</v>
      </c>
      <c r="B71" s="1" t="s">
        <v>1</v>
      </c>
      <c r="C71" s="41">
        <v>15</v>
      </c>
      <c r="D71" s="1" t="s">
        <v>47</v>
      </c>
      <c r="E71" s="42" t="s">
        <v>49</v>
      </c>
      <c r="F71">
        <v>140</v>
      </c>
      <c r="G71">
        <f t="shared" si="0"/>
        <v>186</v>
      </c>
      <c r="H71" s="31">
        <v>26040</v>
      </c>
      <c r="I71" t="s">
        <v>28</v>
      </c>
      <c r="J71"/>
      <c r="K71"/>
      <c r="L71"/>
    </row>
    <row r="72" spans="1:12" ht="15" customHeight="1">
      <c r="A72" s="9">
        <v>58</v>
      </c>
      <c r="B72" s="1" t="s">
        <v>1</v>
      </c>
      <c r="C72" s="41">
        <v>15</v>
      </c>
      <c r="D72" s="1" t="s">
        <v>47</v>
      </c>
      <c r="E72" s="42" t="s">
        <v>64</v>
      </c>
      <c r="F72">
        <v>17</v>
      </c>
      <c r="G72">
        <f t="shared" si="0"/>
        <v>179.41176470588235</v>
      </c>
      <c r="H72" s="31">
        <v>3050</v>
      </c>
      <c r="I72" t="s">
        <v>28</v>
      </c>
      <c r="J72"/>
      <c r="K72"/>
      <c r="L72"/>
    </row>
    <row r="73" spans="1:12" ht="15" customHeight="1">
      <c r="A73" s="9">
        <v>59</v>
      </c>
      <c r="B73" s="1" t="s">
        <v>1</v>
      </c>
      <c r="C73" s="41">
        <v>15</v>
      </c>
      <c r="D73" s="1" t="s">
        <v>47</v>
      </c>
      <c r="E73" s="42" t="s">
        <v>75</v>
      </c>
      <c r="F73">
        <v>100</v>
      </c>
      <c r="G73">
        <f t="shared" si="0"/>
        <v>140</v>
      </c>
      <c r="H73" s="31">
        <v>14000</v>
      </c>
      <c r="I73" t="s">
        <v>28</v>
      </c>
      <c r="J73"/>
      <c r="K73"/>
      <c r="L73"/>
    </row>
    <row r="74" spans="1:12" ht="15" customHeight="1">
      <c r="A74" s="9">
        <v>60</v>
      </c>
      <c r="B74" s="1" t="s">
        <v>1</v>
      </c>
      <c r="C74" s="41">
        <v>15</v>
      </c>
      <c r="D74" s="1" t="s">
        <v>47</v>
      </c>
      <c r="E74" s="42" t="s">
        <v>76</v>
      </c>
      <c r="F74">
        <v>1</v>
      </c>
      <c r="G74">
        <f t="shared" si="0"/>
        <v>3500</v>
      </c>
      <c r="H74" s="31">
        <v>3500</v>
      </c>
      <c r="I74" t="s">
        <v>28</v>
      </c>
      <c r="J74"/>
      <c r="K74"/>
      <c r="L74"/>
    </row>
    <row r="75" spans="1:12" ht="15" customHeight="1">
      <c r="A75" s="9">
        <v>61</v>
      </c>
      <c r="B75" s="1" t="s">
        <v>1</v>
      </c>
      <c r="C75" s="41">
        <v>15</v>
      </c>
      <c r="D75" s="1" t="s">
        <v>47</v>
      </c>
      <c r="E75" s="42" t="s">
        <v>53</v>
      </c>
      <c r="F75">
        <v>390</v>
      </c>
      <c r="G75">
        <f t="shared" si="0"/>
        <v>18.46153846153846</v>
      </c>
      <c r="H75" s="31">
        <v>7200</v>
      </c>
      <c r="I75" t="s">
        <v>28</v>
      </c>
      <c r="J75"/>
      <c r="K75"/>
      <c r="L75"/>
    </row>
    <row r="76" spans="1:12" ht="15" customHeight="1">
      <c r="A76" s="9">
        <v>62</v>
      </c>
      <c r="B76" s="1" t="s">
        <v>1</v>
      </c>
      <c r="C76" s="41">
        <v>15</v>
      </c>
      <c r="D76" s="1" t="s">
        <v>47</v>
      </c>
      <c r="E76" s="42" t="s">
        <v>66</v>
      </c>
      <c r="F76">
        <v>98</v>
      </c>
      <c r="G76">
        <f t="shared" si="0"/>
        <v>28.571428571428573</v>
      </c>
      <c r="H76" s="31">
        <v>2800</v>
      </c>
      <c r="I76" t="s">
        <v>28</v>
      </c>
      <c r="J76"/>
      <c r="K76"/>
    </row>
    <row r="77" spans="1:12" ht="15" customHeight="1">
      <c r="A77" s="9">
        <v>63</v>
      </c>
      <c r="B77" s="1" t="s">
        <v>1</v>
      </c>
      <c r="C77" s="41">
        <v>15</v>
      </c>
      <c r="D77" s="1" t="s">
        <v>47</v>
      </c>
      <c r="E77" s="42" t="s">
        <v>77</v>
      </c>
      <c r="F77">
        <v>100</v>
      </c>
      <c r="G77">
        <f t="shared" si="0"/>
        <v>62</v>
      </c>
      <c r="H77" s="31">
        <v>6200</v>
      </c>
      <c r="I77" t="s">
        <v>28</v>
      </c>
      <c r="J77"/>
      <c r="K77"/>
    </row>
    <row r="78" spans="1:12" ht="15" customHeight="1">
      <c r="A78" s="9">
        <v>64</v>
      </c>
      <c r="B78" s="1" t="s">
        <v>1</v>
      </c>
      <c r="C78" s="41">
        <v>15</v>
      </c>
      <c r="D78" s="1" t="s">
        <v>47</v>
      </c>
      <c r="E78" s="42" t="s">
        <v>67</v>
      </c>
      <c r="F78">
        <v>30</v>
      </c>
      <c r="G78">
        <f t="shared" si="0"/>
        <v>161.66666666666666</v>
      </c>
      <c r="H78" s="31">
        <v>4850</v>
      </c>
      <c r="I78" t="s">
        <v>28</v>
      </c>
      <c r="J78"/>
      <c r="K78"/>
    </row>
    <row r="79" spans="1:12" ht="15" customHeight="1">
      <c r="A79" s="9">
        <v>65</v>
      </c>
      <c r="B79" s="1" t="s">
        <v>1</v>
      </c>
      <c r="C79" s="41">
        <v>15</v>
      </c>
      <c r="D79" s="1" t="s">
        <v>47</v>
      </c>
      <c r="E79" s="42" t="s">
        <v>54</v>
      </c>
      <c r="F79">
        <v>30</v>
      </c>
      <c r="G79">
        <f t="shared" ref="G79:G117" si="1">H79/F79</f>
        <v>125</v>
      </c>
      <c r="H79" s="31">
        <v>3750</v>
      </c>
      <c r="I79" t="s">
        <v>28</v>
      </c>
      <c r="J79"/>
      <c r="K79"/>
    </row>
    <row r="80" spans="1:12" ht="15" customHeight="1">
      <c r="A80" s="9">
        <v>66</v>
      </c>
      <c r="B80" s="1" t="s">
        <v>1</v>
      </c>
      <c r="C80" s="41">
        <v>15</v>
      </c>
      <c r="D80" s="1" t="s">
        <v>47</v>
      </c>
      <c r="E80" s="42" t="s">
        <v>78</v>
      </c>
      <c r="F80">
        <v>10</v>
      </c>
      <c r="G80">
        <f t="shared" si="1"/>
        <v>120</v>
      </c>
      <c r="H80" s="31">
        <v>1200</v>
      </c>
      <c r="I80" t="s">
        <v>28</v>
      </c>
      <c r="J80"/>
      <c r="K80"/>
    </row>
    <row r="81" spans="1:11" ht="15" customHeight="1">
      <c r="A81" s="9">
        <v>67</v>
      </c>
      <c r="B81" s="1" t="s">
        <v>1</v>
      </c>
      <c r="C81" s="41">
        <v>15</v>
      </c>
      <c r="D81" s="1" t="s">
        <v>47</v>
      </c>
      <c r="E81" s="42" t="s">
        <v>62</v>
      </c>
      <c r="F81">
        <v>2</v>
      </c>
      <c r="G81">
        <f t="shared" si="1"/>
        <v>510</v>
      </c>
      <c r="H81" s="31">
        <v>1020</v>
      </c>
      <c r="I81" t="s">
        <v>28</v>
      </c>
      <c r="J81"/>
      <c r="K81"/>
    </row>
    <row r="82" spans="1:11" ht="15" customHeight="1">
      <c r="A82" s="9">
        <v>68</v>
      </c>
      <c r="B82" s="1" t="s">
        <v>1</v>
      </c>
      <c r="C82" s="41">
        <v>15</v>
      </c>
      <c r="D82" s="1" t="s">
        <v>47</v>
      </c>
      <c r="E82" s="42" t="s">
        <v>79</v>
      </c>
      <c r="F82">
        <v>2</v>
      </c>
      <c r="G82">
        <f t="shared" si="1"/>
        <v>580</v>
      </c>
      <c r="H82" s="31">
        <v>1160</v>
      </c>
      <c r="I82" t="s">
        <v>28</v>
      </c>
      <c r="J82"/>
      <c r="K82"/>
    </row>
    <row r="83" spans="1:11" ht="15" customHeight="1">
      <c r="A83" s="9">
        <v>69</v>
      </c>
      <c r="B83" s="1" t="s">
        <v>1</v>
      </c>
      <c r="C83" s="41">
        <v>15</v>
      </c>
      <c r="D83" s="1" t="s">
        <v>47</v>
      </c>
      <c r="E83" s="42" t="s">
        <v>80</v>
      </c>
      <c r="F83">
        <v>2</v>
      </c>
      <c r="G83">
        <f t="shared" si="1"/>
        <v>100</v>
      </c>
      <c r="H83" s="31">
        <v>200</v>
      </c>
      <c r="I83" t="s">
        <v>28</v>
      </c>
      <c r="J83"/>
      <c r="K83"/>
    </row>
    <row r="84" spans="1:11" ht="15" customHeight="1">
      <c r="A84" s="9">
        <v>70</v>
      </c>
      <c r="B84" s="1" t="s">
        <v>1</v>
      </c>
      <c r="C84" s="41">
        <v>15</v>
      </c>
      <c r="D84" s="1" t="s">
        <v>47</v>
      </c>
      <c r="E84" s="42" t="s">
        <v>81</v>
      </c>
      <c r="F84">
        <v>10</v>
      </c>
      <c r="G84">
        <f t="shared" si="1"/>
        <v>320</v>
      </c>
      <c r="H84" s="31">
        <v>3200</v>
      </c>
      <c r="I84" t="s">
        <v>28</v>
      </c>
      <c r="J84"/>
      <c r="K84"/>
    </row>
    <row r="85" spans="1:11" ht="15" customHeight="1">
      <c r="A85" s="9">
        <v>71</v>
      </c>
      <c r="B85" s="1" t="s">
        <v>1</v>
      </c>
      <c r="C85" s="41">
        <v>15</v>
      </c>
      <c r="D85" s="1" t="s">
        <v>47</v>
      </c>
      <c r="E85" s="42" t="s">
        <v>82</v>
      </c>
      <c r="F85">
        <v>8</v>
      </c>
      <c r="G85">
        <f t="shared" si="1"/>
        <v>350</v>
      </c>
      <c r="H85" s="31">
        <v>2800</v>
      </c>
      <c r="I85" t="s">
        <v>28</v>
      </c>
      <c r="J85"/>
      <c r="K85"/>
    </row>
    <row r="86" spans="1:11" ht="15" customHeight="1">
      <c r="A86" s="9">
        <v>72</v>
      </c>
      <c r="B86" s="1" t="s">
        <v>1</v>
      </c>
      <c r="C86" s="41">
        <v>15</v>
      </c>
      <c r="D86" s="1" t="s">
        <v>47</v>
      </c>
      <c r="E86" s="42" t="s">
        <v>60</v>
      </c>
      <c r="F86">
        <v>2</v>
      </c>
      <c r="G86">
        <f t="shared" si="1"/>
        <v>1650</v>
      </c>
      <c r="H86" s="59">
        <v>3300</v>
      </c>
      <c r="I86" s="35" t="s">
        <v>83</v>
      </c>
      <c r="J86" t="s">
        <v>84</v>
      </c>
      <c r="K86"/>
    </row>
    <row r="87" spans="1:11" ht="15" customHeight="1">
      <c r="A87" s="9">
        <v>73</v>
      </c>
      <c r="B87" s="1" t="s">
        <v>1</v>
      </c>
      <c r="C87" s="41">
        <v>15</v>
      </c>
      <c r="D87" s="1" t="s">
        <v>47</v>
      </c>
      <c r="E87" s="42" t="s">
        <v>61</v>
      </c>
      <c r="F87">
        <v>2</v>
      </c>
      <c r="G87">
        <f t="shared" si="1"/>
        <v>920</v>
      </c>
      <c r="H87" s="59">
        <v>1840</v>
      </c>
      <c r="I87" s="35" t="s">
        <v>83</v>
      </c>
      <c r="J87" t="s">
        <v>84</v>
      </c>
      <c r="K87"/>
    </row>
    <row r="88" spans="1:11" ht="15" customHeight="1">
      <c r="A88" s="9">
        <v>74</v>
      </c>
      <c r="B88" s="1" t="s">
        <v>1</v>
      </c>
      <c r="C88" s="41">
        <v>15</v>
      </c>
      <c r="D88" s="1" t="s">
        <v>45</v>
      </c>
      <c r="E88" s="42" t="s">
        <v>63</v>
      </c>
      <c r="F88">
        <v>2</v>
      </c>
      <c r="G88">
        <f t="shared" si="1"/>
        <v>1500</v>
      </c>
      <c r="H88" s="59">
        <v>3000</v>
      </c>
      <c r="I88" s="35" t="s">
        <v>83</v>
      </c>
      <c r="J88" t="s">
        <v>84</v>
      </c>
      <c r="K88"/>
    </row>
    <row r="89" spans="1:11" ht="15" customHeight="1">
      <c r="A89" s="9">
        <v>75</v>
      </c>
      <c r="B89" s="1" t="s">
        <v>1</v>
      </c>
      <c r="C89" s="41">
        <v>15</v>
      </c>
      <c r="D89" s="1" t="s">
        <v>45</v>
      </c>
      <c r="E89" s="42" t="s">
        <v>85</v>
      </c>
      <c r="F89">
        <v>15</v>
      </c>
      <c r="G89">
        <f t="shared" si="1"/>
        <v>40</v>
      </c>
      <c r="H89" s="59">
        <v>600</v>
      </c>
      <c r="I89" s="35" t="s">
        <v>83</v>
      </c>
      <c r="J89" t="s">
        <v>84</v>
      </c>
      <c r="K89"/>
    </row>
    <row r="90" spans="1:11" ht="15" customHeight="1">
      <c r="A90" s="9">
        <v>76</v>
      </c>
      <c r="B90" s="1" t="s">
        <v>1</v>
      </c>
      <c r="C90" s="41">
        <v>15</v>
      </c>
      <c r="D90" s="1" t="s">
        <v>45</v>
      </c>
      <c r="E90" s="42" t="s">
        <v>86</v>
      </c>
      <c r="F90">
        <v>80</v>
      </c>
      <c r="G90">
        <f t="shared" si="1"/>
        <v>8.5</v>
      </c>
      <c r="H90" s="59">
        <v>680</v>
      </c>
      <c r="I90" s="35" t="s">
        <v>83</v>
      </c>
      <c r="J90" t="s">
        <v>84</v>
      </c>
      <c r="K90"/>
    </row>
    <row r="91" spans="1:11" ht="15" customHeight="1">
      <c r="A91" s="9">
        <v>77</v>
      </c>
      <c r="B91" s="1" t="s">
        <v>1</v>
      </c>
      <c r="C91" s="41">
        <v>15</v>
      </c>
      <c r="D91" s="1" t="s">
        <v>45</v>
      </c>
      <c r="E91" s="42" t="s">
        <v>87</v>
      </c>
      <c r="F91">
        <v>1</v>
      </c>
      <c r="G91">
        <f t="shared" si="1"/>
        <v>230</v>
      </c>
      <c r="H91" s="59">
        <v>230</v>
      </c>
      <c r="I91" s="35" t="s">
        <v>83</v>
      </c>
      <c r="J91" t="s">
        <v>84</v>
      </c>
      <c r="K91"/>
    </row>
    <row r="92" spans="1:11" ht="15" customHeight="1">
      <c r="A92" s="9">
        <v>78</v>
      </c>
      <c r="B92" s="1" t="s">
        <v>1</v>
      </c>
      <c r="C92" s="41">
        <v>15</v>
      </c>
      <c r="D92" s="1" t="s">
        <v>45</v>
      </c>
      <c r="E92" s="42" t="s">
        <v>88</v>
      </c>
      <c r="F92">
        <v>32</v>
      </c>
      <c r="G92">
        <f t="shared" si="1"/>
        <v>100</v>
      </c>
      <c r="H92" s="59">
        <v>3200</v>
      </c>
      <c r="I92" s="35" t="s">
        <v>89</v>
      </c>
      <c r="J92" t="s">
        <v>84</v>
      </c>
      <c r="K92"/>
    </row>
    <row r="93" spans="1:11" ht="15" customHeight="1">
      <c r="A93" s="9">
        <v>79</v>
      </c>
      <c r="B93" s="1" t="s">
        <v>1</v>
      </c>
      <c r="C93" s="41">
        <v>15</v>
      </c>
      <c r="D93" s="1" t="s">
        <v>45</v>
      </c>
      <c r="E93" s="42" t="s">
        <v>88</v>
      </c>
      <c r="F93">
        <v>10</v>
      </c>
      <c r="G93">
        <f t="shared" si="1"/>
        <v>80</v>
      </c>
      <c r="H93" s="59">
        <v>800</v>
      </c>
      <c r="I93" s="35" t="s">
        <v>89</v>
      </c>
      <c r="J93" t="s">
        <v>84</v>
      </c>
      <c r="K93"/>
    </row>
    <row r="94" spans="1:11" ht="15" customHeight="1">
      <c r="A94" s="9">
        <v>80</v>
      </c>
      <c r="B94" s="1" t="s">
        <v>1</v>
      </c>
      <c r="C94" s="41">
        <v>15</v>
      </c>
      <c r="D94" s="1" t="s">
        <v>45</v>
      </c>
      <c r="E94" s="42" t="s">
        <v>88</v>
      </c>
      <c r="F94">
        <v>18</v>
      </c>
      <c r="G94">
        <f t="shared" si="1"/>
        <v>75</v>
      </c>
      <c r="H94" s="59">
        <v>1350</v>
      </c>
      <c r="I94" s="35" t="s">
        <v>89</v>
      </c>
      <c r="J94" t="s">
        <v>84</v>
      </c>
      <c r="K94"/>
    </row>
    <row r="95" spans="1:11" ht="15" customHeight="1">
      <c r="A95" s="9">
        <v>81</v>
      </c>
      <c r="B95" s="1" t="s">
        <v>1</v>
      </c>
      <c r="C95" s="41">
        <v>15</v>
      </c>
      <c r="D95" s="1" t="s">
        <v>45</v>
      </c>
      <c r="E95" s="42" t="s">
        <v>69</v>
      </c>
      <c r="F95">
        <v>1</v>
      </c>
      <c r="G95">
        <f t="shared" si="1"/>
        <v>190</v>
      </c>
      <c r="H95" s="59">
        <v>190</v>
      </c>
      <c r="I95" s="35" t="s">
        <v>89</v>
      </c>
      <c r="J95" t="s">
        <v>84</v>
      </c>
      <c r="K95"/>
    </row>
    <row r="96" spans="1:11" ht="15" customHeight="1">
      <c r="A96" s="9">
        <v>82</v>
      </c>
      <c r="B96" s="1" t="s">
        <v>1</v>
      </c>
      <c r="C96" s="41">
        <v>16</v>
      </c>
      <c r="D96" s="1" t="s">
        <v>45</v>
      </c>
      <c r="E96" s="42" t="s">
        <v>57</v>
      </c>
      <c r="F96">
        <v>84.6</v>
      </c>
      <c r="G96">
        <f t="shared" si="1"/>
        <v>165.01182033096927</v>
      </c>
      <c r="H96" s="31">
        <v>13960</v>
      </c>
      <c r="I96" s="35" t="s">
        <v>83</v>
      </c>
      <c r="J96"/>
      <c r="K96"/>
    </row>
    <row r="97" spans="1:11" ht="15" customHeight="1">
      <c r="A97" s="9">
        <v>83</v>
      </c>
      <c r="B97" s="1" t="s">
        <v>1</v>
      </c>
      <c r="C97" s="41">
        <v>16</v>
      </c>
      <c r="D97" s="1" t="s">
        <v>45</v>
      </c>
      <c r="E97" s="42" t="s">
        <v>90</v>
      </c>
      <c r="F97">
        <v>1</v>
      </c>
      <c r="G97">
        <f t="shared" si="1"/>
        <v>50</v>
      </c>
      <c r="H97" s="31">
        <v>50</v>
      </c>
      <c r="I97" s="35" t="s">
        <v>83</v>
      </c>
      <c r="J97"/>
      <c r="K97"/>
    </row>
    <row r="98" spans="1:11" ht="15" customHeight="1">
      <c r="A98" s="9">
        <v>84</v>
      </c>
      <c r="B98" s="1" t="s">
        <v>1</v>
      </c>
      <c r="C98" s="41">
        <v>16</v>
      </c>
      <c r="D98" s="1" t="s">
        <v>45</v>
      </c>
      <c r="E98" s="42" t="s">
        <v>91</v>
      </c>
      <c r="F98">
        <v>580</v>
      </c>
      <c r="G98">
        <f t="shared" si="1"/>
        <v>6.5172413793103452</v>
      </c>
      <c r="H98" s="31">
        <v>3780</v>
      </c>
      <c r="I98" s="35" t="s">
        <v>83</v>
      </c>
      <c r="J98"/>
      <c r="K98"/>
    </row>
    <row r="99" spans="1:11" ht="15" customHeight="1">
      <c r="A99" s="9">
        <v>85</v>
      </c>
      <c r="B99" s="1" t="s">
        <v>1</v>
      </c>
      <c r="C99" s="41">
        <v>16</v>
      </c>
      <c r="D99" s="1" t="s">
        <v>45</v>
      </c>
      <c r="E99" s="42" t="s">
        <v>92</v>
      </c>
      <c r="F99">
        <v>302</v>
      </c>
      <c r="G99">
        <f t="shared" si="1"/>
        <v>30</v>
      </c>
      <c r="H99" s="31">
        <v>9060</v>
      </c>
      <c r="I99" s="35" t="s">
        <v>93</v>
      </c>
      <c r="J99"/>
      <c r="K99"/>
    </row>
    <row r="100" spans="1:11" ht="15" customHeight="1">
      <c r="A100" s="9">
        <v>86</v>
      </c>
      <c r="B100" s="1" t="s">
        <v>1</v>
      </c>
      <c r="C100" s="41">
        <v>17</v>
      </c>
      <c r="D100" s="1" t="s">
        <v>45</v>
      </c>
      <c r="E100" s="42" t="s">
        <v>65</v>
      </c>
      <c r="F100" s="60">
        <v>79.900000000000006</v>
      </c>
      <c r="G100" s="61">
        <f t="shared" si="1"/>
        <v>334.1677096370463</v>
      </c>
      <c r="H100" s="62">
        <v>26700</v>
      </c>
      <c r="I100" s="35" t="s">
        <v>83</v>
      </c>
      <c r="J100"/>
      <c r="K100"/>
    </row>
    <row r="101" spans="1:11" ht="15" customHeight="1">
      <c r="A101" s="9">
        <v>87</v>
      </c>
      <c r="B101" s="1" t="s">
        <v>1</v>
      </c>
      <c r="C101" s="41">
        <v>17</v>
      </c>
      <c r="D101" s="1" t="s">
        <v>45</v>
      </c>
      <c r="E101" s="42" t="s">
        <v>91</v>
      </c>
      <c r="F101" s="60">
        <v>580</v>
      </c>
      <c r="G101" s="61">
        <f t="shared" si="1"/>
        <v>5</v>
      </c>
      <c r="H101" s="62">
        <v>2900</v>
      </c>
      <c r="I101" s="35" t="s">
        <v>83</v>
      </c>
      <c r="J101"/>
      <c r="K101"/>
    </row>
    <row r="102" spans="1:11" ht="15" customHeight="1">
      <c r="A102" s="9">
        <v>88</v>
      </c>
      <c r="B102" s="1" t="s">
        <v>1</v>
      </c>
      <c r="C102" s="41">
        <v>17</v>
      </c>
      <c r="D102" s="1" t="s">
        <v>45</v>
      </c>
      <c r="E102" s="42" t="s">
        <v>85</v>
      </c>
      <c r="F102" s="60">
        <v>16</v>
      </c>
      <c r="G102" s="61">
        <f t="shared" si="1"/>
        <v>59.375</v>
      </c>
      <c r="H102" s="62">
        <v>950</v>
      </c>
      <c r="I102" s="35" t="s">
        <v>83</v>
      </c>
      <c r="J102"/>
      <c r="K102"/>
    </row>
    <row r="103" spans="1:11" ht="15" customHeight="1">
      <c r="A103" s="9">
        <v>89</v>
      </c>
      <c r="B103" s="1" t="s">
        <v>1</v>
      </c>
      <c r="C103" s="41">
        <v>17</v>
      </c>
      <c r="D103" s="1" t="s">
        <v>45</v>
      </c>
      <c r="E103" s="42" t="s">
        <v>86</v>
      </c>
      <c r="F103" s="60">
        <v>60</v>
      </c>
      <c r="G103" s="61">
        <f t="shared" si="1"/>
        <v>9.3333333333333339</v>
      </c>
      <c r="H103" s="62">
        <v>560</v>
      </c>
      <c r="I103" s="35" t="s">
        <v>83</v>
      </c>
      <c r="J103"/>
      <c r="K103"/>
    </row>
    <row r="104" spans="1:11" ht="15" customHeight="1">
      <c r="A104" s="9">
        <v>90</v>
      </c>
      <c r="B104" s="1" t="s">
        <v>1</v>
      </c>
      <c r="C104" s="41">
        <v>17</v>
      </c>
      <c r="D104" s="1" t="s">
        <v>45</v>
      </c>
      <c r="E104" s="42" t="s">
        <v>50</v>
      </c>
      <c r="F104">
        <v>1</v>
      </c>
      <c r="G104">
        <f t="shared" si="1"/>
        <v>500</v>
      </c>
      <c r="H104" s="48">
        <v>500</v>
      </c>
      <c r="I104" s="35" t="s">
        <v>83</v>
      </c>
      <c r="J104"/>
    </row>
    <row r="105" spans="1:11" ht="15" customHeight="1">
      <c r="A105" s="9">
        <v>91</v>
      </c>
      <c r="B105" s="1" t="s">
        <v>1</v>
      </c>
      <c r="C105" s="41">
        <v>17</v>
      </c>
      <c r="D105" s="1" t="s">
        <v>45</v>
      </c>
      <c r="E105" s="42" t="s">
        <v>57</v>
      </c>
      <c r="F105" s="52">
        <v>72</v>
      </c>
      <c r="G105" s="47">
        <f t="shared" si="1"/>
        <v>209.72222222222223</v>
      </c>
      <c r="H105" s="48">
        <v>15100</v>
      </c>
      <c r="I105" s="57" t="s">
        <v>28</v>
      </c>
      <c r="J105"/>
    </row>
    <row r="106" spans="1:11" ht="15" customHeight="1">
      <c r="A106" s="9">
        <v>92</v>
      </c>
      <c r="B106" s="1" t="s">
        <v>1</v>
      </c>
      <c r="C106" s="41">
        <v>17</v>
      </c>
      <c r="D106" s="1" t="s">
        <v>45</v>
      </c>
      <c r="E106" s="42" t="s">
        <v>91</v>
      </c>
      <c r="F106" s="52">
        <v>600</v>
      </c>
      <c r="G106" s="47">
        <f t="shared" si="1"/>
        <v>6</v>
      </c>
      <c r="H106" s="48">
        <v>3600</v>
      </c>
      <c r="I106" s="57" t="s">
        <v>28</v>
      </c>
      <c r="J106"/>
    </row>
    <row r="107" spans="1:11" ht="15" customHeight="1">
      <c r="A107" s="9">
        <v>93</v>
      </c>
      <c r="B107" s="1" t="s">
        <v>1</v>
      </c>
      <c r="C107" s="41">
        <v>17</v>
      </c>
      <c r="D107" s="1" t="s">
        <v>45</v>
      </c>
      <c r="E107" s="42" t="s">
        <v>94</v>
      </c>
      <c r="F107" s="52">
        <v>3</v>
      </c>
      <c r="G107">
        <f t="shared" si="1"/>
        <v>1333.3333333333333</v>
      </c>
      <c r="H107" s="48">
        <v>4000</v>
      </c>
      <c r="I107" s="57" t="s">
        <v>28</v>
      </c>
      <c r="J107"/>
    </row>
    <row r="108" spans="1:11" ht="15" customHeight="1">
      <c r="A108" s="9">
        <v>94</v>
      </c>
      <c r="B108" s="1" t="s">
        <v>1</v>
      </c>
      <c r="C108" s="41">
        <v>17</v>
      </c>
      <c r="D108" s="1" t="s">
        <v>45</v>
      </c>
      <c r="E108" s="42" t="s">
        <v>85</v>
      </c>
      <c r="F108">
        <v>10</v>
      </c>
      <c r="G108">
        <f t="shared" si="1"/>
        <v>60</v>
      </c>
      <c r="H108" s="48">
        <v>600</v>
      </c>
      <c r="I108" s="57" t="s">
        <v>28</v>
      </c>
      <c r="J108"/>
    </row>
    <row r="109" spans="1:11" ht="15" customHeight="1">
      <c r="A109" s="9">
        <v>95</v>
      </c>
      <c r="B109" s="1" t="s">
        <v>1</v>
      </c>
      <c r="C109" s="41">
        <v>17</v>
      </c>
      <c r="D109" s="1" t="s">
        <v>45</v>
      </c>
      <c r="E109" s="42" t="s">
        <v>56</v>
      </c>
      <c r="F109">
        <v>1</v>
      </c>
      <c r="G109">
        <f t="shared" si="1"/>
        <v>1150</v>
      </c>
      <c r="H109" s="48">
        <v>1150</v>
      </c>
      <c r="I109" s="57" t="s">
        <v>28</v>
      </c>
      <c r="J109"/>
    </row>
    <row r="110" spans="1:11" ht="15" customHeight="1">
      <c r="A110" s="9">
        <v>96</v>
      </c>
      <c r="B110" s="1" t="s">
        <v>1</v>
      </c>
      <c r="C110" s="41">
        <v>17</v>
      </c>
      <c r="D110" s="1" t="s">
        <v>45</v>
      </c>
      <c r="E110" s="42" t="s">
        <v>71</v>
      </c>
      <c r="F110">
        <v>1</v>
      </c>
      <c r="G110">
        <f t="shared" si="1"/>
        <v>150</v>
      </c>
      <c r="H110" s="48">
        <v>150</v>
      </c>
      <c r="I110" s="57" t="s">
        <v>28</v>
      </c>
      <c r="J110"/>
    </row>
    <row r="111" spans="1:11" ht="15" customHeight="1">
      <c r="A111" s="9">
        <v>97</v>
      </c>
      <c r="B111" s="1" t="s">
        <v>1</v>
      </c>
      <c r="C111" s="41">
        <v>17</v>
      </c>
      <c r="D111" s="1" t="s">
        <v>45</v>
      </c>
      <c r="E111" s="42" t="s">
        <v>95</v>
      </c>
      <c r="F111">
        <v>1</v>
      </c>
      <c r="G111">
        <f t="shared" si="1"/>
        <v>1300</v>
      </c>
      <c r="H111" s="48">
        <v>1300</v>
      </c>
      <c r="I111" s="57" t="s">
        <v>28</v>
      </c>
      <c r="J111"/>
    </row>
    <row r="112" spans="1:11" ht="15" customHeight="1">
      <c r="A112" s="9">
        <v>98</v>
      </c>
      <c r="B112" s="1" t="s">
        <v>1</v>
      </c>
      <c r="C112" s="41">
        <v>17</v>
      </c>
      <c r="D112" s="1" t="s">
        <v>45</v>
      </c>
      <c r="E112" s="42" t="s">
        <v>96</v>
      </c>
      <c r="F112">
        <v>1</v>
      </c>
      <c r="G112">
        <f t="shared" si="1"/>
        <v>1620</v>
      </c>
      <c r="H112" s="48">
        <v>1620</v>
      </c>
      <c r="I112" s="57" t="s">
        <v>28</v>
      </c>
      <c r="J112"/>
    </row>
    <row r="113" spans="1:11" ht="15.6" customHeight="1">
      <c r="A113" s="9">
        <v>99</v>
      </c>
      <c r="B113" s="1" t="s">
        <v>1</v>
      </c>
      <c r="C113" s="41">
        <v>17</v>
      </c>
      <c r="D113" s="1" t="s">
        <v>45</v>
      </c>
      <c r="E113" s="42" t="s">
        <v>50</v>
      </c>
      <c r="F113">
        <v>1</v>
      </c>
      <c r="G113">
        <f t="shared" si="1"/>
        <v>800</v>
      </c>
      <c r="H113" s="48">
        <v>800</v>
      </c>
      <c r="I113" s="57" t="s">
        <v>28</v>
      </c>
      <c r="J113"/>
      <c r="K113"/>
    </row>
    <row r="114" spans="1:11" ht="15.6" customHeight="1">
      <c r="B114" s="1" t="s">
        <v>1</v>
      </c>
      <c r="C114" s="41">
        <v>17</v>
      </c>
      <c r="D114" s="1" t="s">
        <v>45</v>
      </c>
      <c r="E114" s="42" t="s">
        <v>32</v>
      </c>
      <c r="F114">
        <v>700</v>
      </c>
      <c r="G114">
        <f t="shared" si="1"/>
        <v>8.6999999999999993</v>
      </c>
      <c r="H114" s="48">
        <v>6090</v>
      </c>
      <c r="I114" s="35" t="s">
        <v>83</v>
      </c>
      <c r="J114"/>
      <c r="K114"/>
    </row>
    <row r="115" spans="1:11" ht="15" customHeight="1">
      <c r="A115" s="9">
        <v>101</v>
      </c>
      <c r="B115" s="1" t="s">
        <v>1</v>
      </c>
      <c r="C115" s="41">
        <v>18</v>
      </c>
      <c r="D115" s="1" t="s">
        <v>45</v>
      </c>
      <c r="E115" s="42" t="s">
        <v>64</v>
      </c>
      <c r="F115">
        <v>17</v>
      </c>
      <c r="G115">
        <f t="shared" si="1"/>
        <v>188.23529411764707</v>
      </c>
      <c r="H115" s="31">
        <v>3200</v>
      </c>
      <c r="I115" s="35" t="s">
        <v>83</v>
      </c>
      <c r="J115"/>
      <c r="K115"/>
    </row>
    <row r="116" spans="1:11" ht="15" customHeight="1">
      <c r="A116" s="9">
        <v>102</v>
      </c>
      <c r="B116" s="1" t="s">
        <v>1</v>
      </c>
      <c r="C116" s="41">
        <v>18</v>
      </c>
      <c r="D116" s="1" t="s">
        <v>45</v>
      </c>
      <c r="E116" s="42" t="s">
        <v>91</v>
      </c>
      <c r="F116">
        <v>580</v>
      </c>
      <c r="G116">
        <f t="shared" si="1"/>
        <v>5</v>
      </c>
      <c r="H116" s="31">
        <v>2900</v>
      </c>
      <c r="I116" s="35" t="s">
        <v>83</v>
      </c>
      <c r="J116"/>
      <c r="K116"/>
    </row>
    <row r="117" spans="1:11" ht="15.6" customHeight="1">
      <c r="A117" s="9">
        <v>103</v>
      </c>
      <c r="B117" s="1" t="s">
        <v>1</v>
      </c>
      <c r="C117" s="41">
        <v>18</v>
      </c>
      <c r="D117" s="1" t="s">
        <v>45</v>
      </c>
      <c r="E117" s="42" t="s">
        <v>97</v>
      </c>
      <c r="F117">
        <v>1</v>
      </c>
      <c r="G117">
        <f t="shared" si="1"/>
        <v>470</v>
      </c>
      <c r="H117" s="31">
        <v>470</v>
      </c>
      <c r="I117" s="35" t="s">
        <v>83</v>
      </c>
      <c r="J117"/>
      <c r="K117"/>
    </row>
    <row r="118" spans="1:11" ht="15.6" customHeight="1">
      <c r="A118" s="9">
        <v>104</v>
      </c>
      <c r="B118" s="1" t="s">
        <v>1</v>
      </c>
      <c r="C118" s="41">
        <v>18</v>
      </c>
      <c r="D118" s="1" t="s">
        <v>45</v>
      </c>
      <c r="E118" s="42" t="s">
        <v>98</v>
      </c>
      <c r="F118">
        <v>120</v>
      </c>
      <c r="G118">
        <f>H118/F118</f>
        <v>108.33333333333333</v>
      </c>
      <c r="H118" s="31">
        <v>13000</v>
      </c>
      <c r="I118" s="7" t="s">
        <v>32</v>
      </c>
      <c r="J118"/>
      <c r="K118"/>
    </row>
    <row r="119" spans="1:11" ht="15.6" customHeight="1">
      <c r="A119" s="9">
        <v>105</v>
      </c>
      <c r="B119" s="1" t="s">
        <v>1</v>
      </c>
      <c r="C119" s="41">
        <v>18</v>
      </c>
      <c r="D119" s="1" t="s">
        <v>45</v>
      </c>
      <c r="E119" s="42" t="s">
        <v>33</v>
      </c>
      <c r="F119">
        <v>1</v>
      </c>
      <c r="G119">
        <f>H119/F119</f>
        <v>44250</v>
      </c>
      <c r="H119" s="48">
        <v>44250</v>
      </c>
      <c r="I119" s="7" t="s">
        <v>33</v>
      </c>
      <c r="J119"/>
      <c r="K119"/>
    </row>
    <row r="120" spans="1:11" ht="15.6" customHeight="1">
      <c r="A120" s="9">
        <v>106</v>
      </c>
      <c r="B120" s="1" t="s">
        <v>1</v>
      </c>
      <c r="C120" s="41">
        <v>18</v>
      </c>
      <c r="D120" s="1" t="s">
        <v>45</v>
      </c>
      <c r="E120" s="9" t="s">
        <v>53</v>
      </c>
      <c r="F120" s="9">
        <v>260</v>
      </c>
      <c r="G120" s="9">
        <f>H120/F120</f>
        <v>17.692307692307693</v>
      </c>
      <c r="H120" s="16">
        <v>4600</v>
      </c>
      <c r="I120" s="9" t="s">
        <v>28</v>
      </c>
      <c r="J120"/>
      <c r="K120"/>
    </row>
    <row r="121" spans="1:11" ht="15.6" customHeight="1">
      <c r="A121" s="9">
        <v>107</v>
      </c>
      <c r="B121" s="1" t="s">
        <v>1</v>
      </c>
      <c r="C121" s="41">
        <v>18</v>
      </c>
      <c r="D121" s="1" t="s">
        <v>45</v>
      </c>
      <c r="E121" s="9" t="s">
        <v>71</v>
      </c>
      <c r="F121" s="9"/>
      <c r="G121" s="9"/>
      <c r="H121" s="16">
        <v>150</v>
      </c>
      <c r="I121" s="9" t="s">
        <v>28</v>
      </c>
      <c r="J121"/>
      <c r="K121"/>
    </row>
    <row r="122" spans="1:11" ht="15.6" customHeight="1">
      <c r="A122" s="9">
        <v>108</v>
      </c>
      <c r="B122" s="1" t="s">
        <v>1</v>
      </c>
      <c r="C122" s="41">
        <v>18</v>
      </c>
      <c r="D122" s="1" t="s">
        <v>45</v>
      </c>
      <c r="E122" s="9" t="s">
        <v>99</v>
      </c>
      <c r="F122" s="9"/>
      <c r="G122" s="9"/>
      <c r="H122" s="16">
        <v>350</v>
      </c>
      <c r="I122" s="9" t="s">
        <v>28</v>
      </c>
      <c r="J122"/>
      <c r="K122"/>
    </row>
    <row r="123" spans="1:11" ht="15.6" customHeight="1">
      <c r="A123" s="9">
        <v>109</v>
      </c>
      <c r="B123" s="1" t="s">
        <v>1</v>
      </c>
      <c r="C123" s="41">
        <v>19</v>
      </c>
      <c r="D123" s="1" t="s">
        <v>45</v>
      </c>
      <c r="E123" s="42" t="s">
        <v>100</v>
      </c>
      <c r="F123">
        <v>574</v>
      </c>
      <c r="G123">
        <f>H123/F123</f>
        <v>60</v>
      </c>
      <c r="H123" s="31">
        <v>34440</v>
      </c>
      <c r="J123"/>
      <c r="K123"/>
    </row>
    <row r="124" spans="1:11" ht="15">
      <c r="A124" s="9">
        <v>110</v>
      </c>
      <c r="B124" s="1" t="s">
        <v>1</v>
      </c>
      <c r="C124" s="41">
        <v>19</v>
      </c>
      <c r="D124" s="1" t="s">
        <v>45</v>
      </c>
      <c r="E124" s="42" t="s">
        <v>101</v>
      </c>
      <c r="F124">
        <v>2</v>
      </c>
      <c r="G124">
        <f>H124/F124</f>
        <v>20</v>
      </c>
      <c r="H124" s="31">
        <v>40</v>
      </c>
      <c r="J124"/>
    </row>
    <row r="125" spans="1:11" ht="15.6" customHeight="1">
      <c r="A125" s="9">
        <v>111</v>
      </c>
      <c r="B125" s="1" t="s">
        <v>1</v>
      </c>
      <c r="C125" s="41">
        <v>19</v>
      </c>
      <c r="D125" s="1" t="s">
        <v>45</v>
      </c>
      <c r="E125" s="42" t="s">
        <v>102</v>
      </c>
      <c r="F125">
        <v>2</v>
      </c>
      <c r="G125">
        <f>H125/F125</f>
        <v>50</v>
      </c>
      <c r="H125" s="31">
        <v>100</v>
      </c>
      <c r="J125"/>
      <c r="K125"/>
    </row>
    <row r="126" spans="1:11" ht="15.6" customHeight="1">
      <c r="A126" s="9">
        <v>112</v>
      </c>
      <c r="B126" s="1" t="s">
        <v>1</v>
      </c>
      <c r="C126" s="41">
        <v>19</v>
      </c>
      <c r="D126" s="1" t="s">
        <v>45</v>
      </c>
      <c r="E126" s="9" t="s">
        <v>65</v>
      </c>
      <c r="F126">
        <v>82</v>
      </c>
      <c r="G126">
        <f t="shared" ref="G126:G189" si="2">H126/F126</f>
        <v>350</v>
      </c>
      <c r="H126" s="31">
        <v>28700</v>
      </c>
      <c r="I126" s="9" t="s">
        <v>28</v>
      </c>
      <c r="J126"/>
      <c r="K126"/>
    </row>
    <row r="127" spans="1:11" ht="15.6" customHeight="1">
      <c r="A127" s="9">
        <v>113</v>
      </c>
      <c r="B127" s="1" t="s">
        <v>1</v>
      </c>
      <c r="C127" s="41">
        <v>19</v>
      </c>
      <c r="D127" s="1" t="s">
        <v>45</v>
      </c>
      <c r="E127" s="42" t="s">
        <v>57</v>
      </c>
      <c r="F127">
        <v>80</v>
      </c>
      <c r="G127">
        <f t="shared" si="2"/>
        <v>200</v>
      </c>
      <c r="H127" s="31">
        <v>16000</v>
      </c>
      <c r="I127" s="9" t="s">
        <v>28</v>
      </c>
      <c r="J127"/>
      <c r="K127"/>
    </row>
    <row r="128" spans="1:11" ht="15.6" customHeight="1">
      <c r="A128" s="9">
        <v>114</v>
      </c>
      <c r="B128" s="1" t="s">
        <v>1</v>
      </c>
      <c r="C128" s="41">
        <v>19</v>
      </c>
      <c r="D128" s="1" t="s">
        <v>45</v>
      </c>
      <c r="E128" s="42" t="s">
        <v>91</v>
      </c>
      <c r="F128">
        <v>1</v>
      </c>
      <c r="G128">
        <f t="shared" si="2"/>
        <v>3850</v>
      </c>
      <c r="H128" s="31">
        <v>3850</v>
      </c>
      <c r="I128" s="9" t="s">
        <v>28</v>
      </c>
      <c r="J128"/>
      <c r="K128"/>
    </row>
    <row r="129" spans="1:11" ht="15.6" customHeight="1">
      <c r="A129" s="9">
        <v>115</v>
      </c>
      <c r="B129" s="1" t="s">
        <v>1</v>
      </c>
      <c r="C129" s="41">
        <v>19</v>
      </c>
      <c r="D129" s="1" t="s">
        <v>45</v>
      </c>
      <c r="E129" s="42" t="s">
        <v>103</v>
      </c>
      <c r="F129">
        <v>25</v>
      </c>
      <c r="G129">
        <f t="shared" si="2"/>
        <v>102</v>
      </c>
      <c r="H129" s="31">
        <v>2550</v>
      </c>
      <c r="I129" s="9" t="s">
        <v>28</v>
      </c>
      <c r="J129"/>
      <c r="K129"/>
    </row>
    <row r="130" spans="1:11" ht="15.6" customHeight="1">
      <c r="A130" s="9">
        <v>116</v>
      </c>
      <c r="B130" s="1" t="s">
        <v>1</v>
      </c>
      <c r="C130" s="41">
        <v>19</v>
      </c>
      <c r="D130" s="1" t="s">
        <v>45</v>
      </c>
      <c r="E130" s="42" t="s">
        <v>104</v>
      </c>
      <c r="F130">
        <v>25</v>
      </c>
      <c r="G130">
        <f t="shared" si="2"/>
        <v>74</v>
      </c>
      <c r="H130" s="31">
        <v>1850</v>
      </c>
      <c r="I130" s="9" t="s">
        <v>28</v>
      </c>
      <c r="J130"/>
      <c r="K130"/>
    </row>
    <row r="131" spans="1:11" ht="15.6" customHeight="1">
      <c r="A131" s="9">
        <v>117</v>
      </c>
      <c r="B131" s="1" t="s">
        <v>1</v>
      </c>
      <c r="C131" s="41">
        <v>19</v>
      </c>
      <c r="D131" s="1" t="s">
        <v>45</v>
      </c>
      <c r="E131" s="42" t="s">
        <v>53</v>
      </c>
      <c r="F131">
        <v>260</v>
      </c>
      <c r="G131">
        <f t="shared" si="2"/>
        <v>17.5</v>
      </c>
      <c r="H131" s="31">
        <v>4550</v>
      </c>
      <c r="I131" s="9" t="s">
        <v>28</v>
      </c>
      <c r="J131"/>
      <c r="K131"/>
    </row>
    <row r="132" spans="1:11" ht="15.6" customHeight="1">
      <c r="A132" s="9">
        <v>118</v>
      </c>
      <c r="B132" s="1" t="s">
        <v>1</v>
      </c>
      <c r="C132" s="41">
        <v>19</v>
      </c>
      <c r="D132" s="1" t="s">
        <v>45</v>
      </c>
      <c r="E132" s="42" t="s">
        <v>105</v>
      </c>
      <c r="F132">
        <v>20</v>
      </c>
      <c r="G132">
        <f t="shared" si="2"/>
        <v>575</v>
      </c>
      <c r="H132" s="31">
        <v>11500</v>
      </c>
      <c r="I132" s="9" t="s">
        <v>28</v>
      </c>
      <c r="J132"/>
      <c r="K132"/>
    </row>
    <row r="133" spans="1:11" ht="15.6" customHeight="1">
      <c r="A133" s="9">
        <v>119</v>
      </c>
      <c r="B133" s="1" t="s">
        <v>1</v>
      </c>
      <c r="C133" s="41">
        <v>19</v>
      </c>
      <c r="D133" s="1" t="s">
        <v>45</v>
      </c>
      <c r="E133" s="42" t="s">
        <v>50</v>
      </c>
      <c r="F133">
        <v>1</v>
      </c>
      <c r="G133">
        <f t="shared" si="2"/>
        <v>1000</v>
      </c>
      <c r="H133" s="31">
        <v>1000</v>
      </c>
      <c r="I133" s="9" t="s">
        <v>28</v>
      </c>
      <c r="J133"/>
      <c r="K133"/>
    </row>
    <row r="134" spans="1:11" ht="15.6" customHeight="1">
      <c r="A134" s="9">
        <v>120</v>
      </c>
      <c r="B134" s="1" t="s">
        <v>1</v>
      </c>
      <c r="C134" s="41">
        <v>20</v>
      </c>
      <c r="D134" s="1" t="s">
        <v>45</v>
      </c>
      <c r="E134" s="42" t="s">
        <v>96</v>
      </c>
      <c r="F134">
        <v>20</v>
      </c>
      <c r="G134">
        <f t="shared" si="2"/>
        <v>90</v>
      </c>
      <c r="H134" s="31">
        <v>1800</v>
      </c>
      <c r="I134" s="9" t="s">
        <v>28</v>
      </c>
      <c r="J134"/>
      <c r="K134"/>
    </row>
    <row r="135" spans="1:11" ht="15.6" customHeight="1">
      <c r="A135" s="9">
        <v>121</v>
      </c>
      <c r="B135" s="1" t="s">
        <v>1</v>
      </c>
      <c r="C135" s="41">
        <v>20</v>
      </c>
      <c r="D135" s="1" t="s">
        <v>45</v>
      </c>
      <c r="E135" s="42" t="s">
        <v>95</v>
      </c>
      <c r="F135">
        <v>20</v>
      </c>
      <c r="G135">
        <f t="shared" si="2"/>
        <v>65</v>
      </c>
      <c r="H135" s="31">
        <v>1300</v>
      </c>
      <c r="I135" s="9" t="s">
        <v>28</v>
      </c>
      <c r="J135"/>
      <c r="K135"/>
    </row>
    <row r="136" spans="1:11" ht="15">
      <c r="A136" s="9">
        <v>122</v>
      </c>
      <c r="B136" s="1" t="s">
        <v>1</v>
      </c>
      <c r="C136" s="41">
        <v>20</v>
      </c>
      <c r="D136" s="1" t="s">
        <v>45</v>
      </c>
      <c r="E136" s="9" t="s">
        <v>91</v>
      </c>
      <c r="F136" s="9"/>
      <c r="G136" s="9"/>
      <c r="H136" s="16">
        <v>3200</v>
      </c>
      <c r="I136" s="9" t="s">
        <v>28</v>
      </c>
      <c r="J136"/>
      <c r="K136"/>
    </row>
    <row r="137" spans="1:11" ht="15">
      <c r="A137" s="9">
        <v>123</v>
      </c>
      <c r="B137" s="1" t="s">
        <v>1</v>
      </c>
      <c r="C137" s="41">
        <v>20</v>
      </c>
      <c r="D137" s="1" t="s">
        <v>45</v>
      </c>
      <c r="E137" s="42" t="s">
        <v>85</v>
      </c>
      <c r="F137">
        <v>15</v>
      </c>
      <c r="G137">
        <f t="shared" si="2"/>
        <v>60</v>
      </c>
      <c r="H137" s="31">
        <v>900</v>
      </c>
      <c r="I137" s="9" t="s">
        <v>28</v>
      </c>
      <c r="J137"/>
      <c r="K137"/>
    </row>
    <row r="138" spans="1:11" ht="15.6" customHeight="1">
      <c r="A138" s="9">
        <v>124</v>
      </c>
      <c r="B138" s="1" t="s">
        <v>1</v>
      </c>
      <c r="C138" s="41">
        <v>20</v>
      </c>
      <c r="D138" s="1" t="s">
        <v>45</v>
      </c>
      <c r="E138" s="42" t="s">
        <v>86</v>
      </c>
      <c r="F138">
        <v>1</v>
      </c>
      <c r="G138">
        <f t="shared" si="2"/>
        <v>700</v>
      </c>
      <c r="H138" s="31">
        <v>700</v>
      </c>
      <c r="I138" s="9" t="s">
        <v>28</v>
      </c>
      <c r="J138"/>
      <c r="K138"/>
    </row>
    <row r="139" spans="1:11" ht="15.6" customHeight="1">
      <c r="A139" s="9">
        <v>125</v>
      </c>
      <c r="B139" s="1" t="s">
        <v>1</v>
      </c>
      <c r="C139" s="41">
        <v>20</v>
      </c>
      <c r="D139" s="1" t="s">
        <v>45</v>
      </c>
      <c r="E139" s="42" t="s">
        <v>50</v>
      </c>
      <c r="F139">
        <v>1</v>
      </c>
      <c r="G139">
        <f t="shared" si="2"/>
        <v>300</v>
      </c>
      <c r="H139" s="31">
        <v>300</v>
      </c>
      <c r="I139" s="9" t="s">
        <v>28</v>
      </c>
      <c r="J139"/>
      <c r="K139"/>
    </row>
    <row r="140" spans="1:11" ht="15.6" customHeight="1">
      <c r="A140" s="9">
        <v>126</v>
      </c>
      <c r="B140" s="1" t="s">
        <v>1</v>
      </c>
      <c r="C140" s="41">
        <v>21</v>
      </c>
      <c r="D140" s="1" t="s">
        <v>45</v>
      </c>
      <c r="E140" s="42" t="s">
        <v>65</v>
      </c>
      <c r="F140">
        <v>67.8</v>
      </c>
      <c r="G140">
        <f t="shared" si="2"/>
        <v>359.88200589970501</v>
      </c>
      <c r="H140" s="31">
        <v>24400</v>
      </c>
      <c r="I140" s="9" t="s">
        <v>28</v>
      </c>
      <c r="J140"/>
      <c r="K140"/>
    </row>
    <row r="141" spans="1:11" ht="15.6" customHeight="1">
      <c r="A141" s="9">
        <v>127</v>
      </c>
      <c r="B141" s="1" t="s">
        <v>1</v>
      </c>
      <c r="C141" s="41">
        <v>21</v>
      </c>
      <c r="D141" s="1" t="s">
        <v>45</v>
      </c>
      <c r="E141" s="42" t="s">
        <v>106</v>
      </c>
      <c r="F141">
        <v>100</v>
      </c>
      <c r="G141">
        <f t="shared" si="2"/>
        <v>146</v>
      </c>
      <c r="H141" s="31">
        <v>14600</v>
      </c>
      <c r="I141" s="9" t="s">
        <v>28</v>
      </c>
      <c r="J141"/>
      <c r="K141"/>
    </row>
    <row r="142" spans="1:11" ht="15.6" customHeight="1">
      <c r="A142" s="9">
        <v>128</v>
      </c>
      <c r="B142" s="1" t="s">
        <v>1</v>
      </c>
      <c r="C142" s="41">
        <v>21</v>
      </c>
      <c r="D142" s="1" t="s">
        <v>45</v>
      </c>
      <c r="E142" s="42" t="s">
        <v>61</v>
      </c>
      <c r="F142">
        <v>3</v>
      </c>
      <c r="G142">
        <f t="shared" si="2"/>
        <v>1000</v>
      </c>
      <c r="H142" s="31">
        <v>3000</v>
      </c>
      <c r="I142" s="9" t="s">
        <v>28</v>
      </c>
      <c r="J142"/>
      <c r="K142"/>
    </row>
    <row r="143" spans="1:11" ht="15" customHeight="1">
      <c r="A143" s="9">
        <v>129</v>
      </c>
      <c r="B143" s="1" t="s">
        <v>1</v>
      </c>
      <c r="C143" s="41">
        <v>21</v>
      </c>
      <c r="D143" s="1" t="s">
        <v>45</v>
      </c>
      <c r="E143" s="42" t="s">
        <v>63</v>
      </c>
      <c r="F143">
        <v>1</v>
      </c>
      <c r="G143">
        <f t="shared" si="2"/>
        <v>1600</v>
      </c>
      <c r="H143" s="31">
        <v>1600</v>
      </c>
      <c r="I143" s="9" t="s">
        <v>28</v>
      </c>
      <c r="J143"/>
      <c r="K143"/>
    </row>
    <row r="144" spans="1:11" ht="15" customHeight="1">
      <c r="A144" s="9">
        <v>130</v>
      </c>
      <c r="B144" s="1" t="s">
        <v>1</v>
      </c>
      <c r="C144" s="41">
        <v>21</v>
      </c>
      <c r="D144" s="1" t="s">
        <v>45</v>
      </c>
      <c r="E144" s="42" t="s">
        <v>107</v>
      </c>
      <c r="F144">
        <v>1</v>
      </c>
      <c r="G144">
        <f t="shared" si="2"/>
        <v>720</v>
      </c>
      <c r="H144" s="31">
        <v>720</v>
      </c>
      <c r="I144" s="9" t="s">
        <v>28</v>
      </c>
      <c r="J144"/>
      <c r="K144"/>
    </row>
    <row r="145" spans="1:11" ht="15.6" customHeight="1">
      <c r="A145" s="9">
        <v>131</v>
      </c>
      <c r="B145" s="1" t="s">
        <v>1</v>
      </c>
      <c r="C145" s="41">
        <v>21</v>
      </c>
      <c r="D145" s="1" t="s">
        <v>45</v>
      </c>
      <c r="E145" s="42" t="s">
        <v>103</v>
      </c>
      <c r="F145">
        <v>4</v>
      </c>
      <c r="G145">
        <f t="shared" si="2"/>
        <v>120</v>
      </c>
      <c r="H145" s="31">
        <v>480</v>
      </c>
      <c r="I145" s="9" t="s">
        <v>28</v>
      </c>
      <c r="J145"/>
      <c r="K145"/>
    </row>
    <row r="146" spans="1:11" ht="15.6" customHeight="1">
      <c r="A146" s="9">
        <v>132</v>
      </c>
      <c r="B146" s="1" t="s">
        <v>1</v>
      </c>
      <c r="C146" s="41">
        <v>21</v>
      </c>
      <c r="D146" s="1" t="s">
        <v>45</v>
      </c>
      <c r="E146" s="42" t="s">
        <v>85</v>
      </c>
      <c r="F146">
        <v>1</v>
      </c>
      <c r="G146">
        <f t="shared" si="2"/>
        <v>350</v>
      </c>
      <c r="H146" s="31">
        <v>350</v>
      </c>
      <c r="I146" s="9" t="s">
        <v>28</v>
      </c>
      <c r="J146"/>
      <c r="K146"/>
    </row>
    <row r="147" spans="1:11" ht="15.6" customHeight="1">
      <c r="A147" s="9">
        <v>133</v>
      </c>
      <c r="B147" s="1" t="s">
        <v>1</v>
      </c>
      <c r="C147" s="41">
        <v>21</v>
      </c>
      <c r="D147" s="1" t="s">
        <v>45</v>
      </c>
      <c r="E147" s="42" t="s">
        <v>86</v>
      </c>
      <c r="F147">
        <v>1</v>
      </c>
      <c r="G147">
        <f t="shared" si="2"/>
        <v>450</v>
      </c>
      <c r="H147" s="31">
        <v>450</v>
      </c>
      <c r="I147" s="9" t="s">
        <v>28</v>
      </c>
      <c r="J147"/>
      <c r="K147"/>
    </row>
    <row r="148" spans="1:11" ht="15.6" customHeight="1">
      <c r="A148" s="9">
        <v>134</v>
      </c>
      <c r="B148" s="1" t="s">
        <v>1</v>
      </c>
      <c r="C148" s="41">
        <v>21</v>
      </c>
      <c r="D148" s="1" t="s">
        <v>45</v>
      </c>
      <c r="E148" s="42" t="s">
        <v>50</v>
      </c>
      <c r="F148">
        <v>1</v>
      </c>
      <c r="G148">
        <f t="shared" si="2"/>
        <v>800</v>
      </c>
      <c r="H148" s="31">
        <v>800</v>
      </c>
      <c r="I148" s="9" t="s">
        <v>28</v>
      </c>
      <c r="J148"/>
      <c r="K148"/>
    </row>
    <row r="149" spans="1:11" ht="15" customHeight="1">
      <c r="A149" s="9">
        <v>135</v>
      </c>
      <c r="B149" s="1" t="s">
        <v>1</v>
      </c>
      <c r="C149" s="41">
        <v>22</v>
      </c>
      <c r="D149" s="1" t="s">
        <v>45</v>
      </c>
      <c r="E149" s="42" t="s">
        <v>53</v>
      </c>
      <c r="F149">
        <v>65</v>
      </c>
      <c r="G149">
        <f t="shared" si="2"/>
        <v>16.923076923076923</v>
      </c>
      <c r="H149" s="59">
        <v>1100</v>
      </c>
      <c r="I149" s="57" t="s">
        <v>28</v>
      </c>
      <c r="J149"/>
      <c r="K149"/>
    </row>
    <row r="150" spans="1:11" ht="15" customHeight="1">
      <c r="A150" s="9">
        <v>135</v>
      </c>
      <c r="B150" s="1" t="s">
        <v>1</v>
      </c>
      <c r="C150" s="41">
        <v>22</v>
      </c>
      <c r="D150" s="1" t="s">
        <v>45</v>
      </c>
      <c r="E150" s="42" t="s">
        <v>50</v>
      </c>
      <c r="F150">
        <v>1</v>
      </c>
      <c r="G150">
        <f t="shared" si="2"/>
        <v>100</v>
      </c>
      <c r="H150" s="59">
        <v>100</v>
      </c>
      <c r="I150" s="57" t="s">
        <v>28</v>
      </c>
      <c r="J150"/>
      <c r="K150"/>
    </row>
    <row r="151" spans="1:11" ht="15" customHeight="1">
      <c r="A151" s="9">
        <v>135</v>
      </c>
      <c r="B151" s="1" t="s">
        <v>1</v>
      </c>
      <c r="C151" s="41">
        <v>23</v>
      </c>
      <c r="D151" s="1" t="s">
        <v>45</v>
      </c>
      <c r="E151" s="42" t="s">
        <v>108</v>
      </c>
      <c r="F151">
        <v>5</v>
      </c>
      <c r="G151">
        <f t="shared" si="2"/>
        <v>50</v>
      </c>
      <c r="H151" s="59">
        <v>250</v>
      </c>
      <c r="I151" s="57" t="s">
        <v>28</v>
      </c>
      <c r="J151"/>
      <c r="K151"/>
    </row>
    <row r="152" spans="1:11" ht="15" customHeight="1">
      <c r="A152" s="9">
        <v>135</v>
      </c>
      <c r="B152" s="1" t="s">
        <v>1</v>
      </c>
      <c r="C152" s="41">
        <v>23</v>
      </c>
      <c r="D152" s="1" t="s">
        <v>45</v>
      </c>
      <c r="E152" s="42" t="s">
        <v>109</v>
      </c>
      <c r="F152">
        <v>1</v>
      </c>
      <c r="G152">
        <f t="shared" si="2"/>
        <v>180</v>
      </c>
      <c r="H152" s="59">
        <v>180</v>
      </c>
      <c r="I152" s="57" t="s">
        <v>28</v>
      </c>
      <c r="J152"/>
      <c r="K152"/>
    </row>
    <row r="153" spans="1:11" ht="15" customHeight="1">
      <c r="A153" s="9">
        <v>135</v>
      </c>
      <c r="B153" s="1" t="s">
        <v>1</v>
      </c>
      <c r="C153" s="41">
        <v>23</v>
      </c>
      <c r="D153" s="1" t="s">
        <v>45</v>
      </c>
      <c r="E153" s="42" t="s">
        <v>50</v>
      </c>
      <c r="F153">
        <v>1</v>
      </c>
      <c r="G153">
        <f t="shared" si="2"/>
        <v>100</v>
      </c>
      <c r="H153" s="59">
        <v>100</v>
      </c>
      <c r="I153" s="57" t="s">
        <v>28</v>
      </c>
      <c r="J153"/>
      <c r="K153"/>
    </row>
    <row r="154" spans="1:11" ht="15" customHeight="1">
      <c r="A154" s="9">
        <v>135</v>
      </c>
      <c r="B154" s="1" t="s">
        <v>1</v>
      </c>
      <c r="C154" s="41">
        <v>23</v>
      </c>
      <c r="D154" s="1" t="s">
        <v>45</v>
      </c>
      <c r="E154" s="42" t="s">
        <v>68</v>
      </c>
      <c r="F154">
        <v>277</v>
      </c>
      <c r="G154">
        <f t="shared" si="2"/>
        <v>35</v>
      </c>
      <c r="H154" s="31">
        <v>9695</v>
      </c>
      <c r="I154" s="35" t="s">
        <v>93</v>
      </c>
      <c r="J154"/>
      <c r="K154"/>
    </row>
    <row r="155" spans="1:11" ht="15" customHeight="1">
      <c r="A155" s="9">
        <v>135</v>
      </c>
      <c r="B155" s="1" t="s">
        <v>1</v>
      </c>
      <c r="C155" s="41">
        <v>23</v>
      </c>
      <c r="D155" s="1" t="s">
        <v>45</v>
      </c>
      <c r="E155" s="42" t="s">
        <v>110</v>
      </c>
      <c r="F155">
        <v>2</v>
      </c>
      <c r="G155">
        <f t="shared" si="2"/>
        <v>55</v>
      </c>
      <c r="H155" s="48">
        <v>110</v>
      </c>
      <c r="J155"/>
      <c r="K155"/>
    </row>
    <row r="156" spans="1:11" ht="15.6" customHeight="1">
      <c r="A156" s="9">
        <v>135</v>
      </c>
      <c r="B156" s="1" t="s">
        <v>1</v>
      </c>
      <c r="C156" s="41">
        <v>24</v>
      </c>
      <c r="D156" s="1" t="s">
        <v>45</v>
      </c>
      <c r="E156" s="42" t="s">
        <v>65</v>
      </c>
      <c r="F156">
        <v>1</v>
      </c>
      <c r="G156">
        <f t="shared" si="2"/>
        <v>24300</v>
      </c>
      <c r="H156" s="63">
        <v>24300</v>
      </c>
      <c r="I156" s="57" t="s">
        <v>28</v>
      </c>
      <c r="J156"/>
      <c r="K156"/>
    </row>
    <row r="157" spans="1:11" ht="15.6" customHeight="1">
      <c r="A157" s="9">
        <v>135</v>
      </c>
      <c r="B157" s="1" t="s">
        <v>1</v>
      </c>
      <c r="C157" s="41">
        <v>24</v>
      </c>
      <c r="D157" s="1" t="s">
        <v>45</v>
      </c>
      <c r="E157" s="42" t="s">
        <v>56</v>
      </c>
      <c r="F157">
        <v>36</v>
      </c>
      <c r="G157">
        <f t="shared" si="2"/>
        <v>65</v>
      </c>
      <c r="H157" s="63">
        <v>2340</v>
      </c>
      <c r="I157" s="57" t="s">
        <v>28</v>
      </c>
      <c r="J157"/>
      <c r="K157"/>
    </row>
    <row r="158" spans="1:11" ht="15.6" customHeight="1">
      <c r="A158" s="9">
        <v>135</v>
      </c>
      <c r="B158" s="1" t="s">
        <v>1</v>
      </c>
      <c r="C158" s="41">
        <v>24</v>
      </c>
      <c r="D158" s="1" t="s">
        <v>45</v>
      </c>
      <c r="E158" s="42" t="s">
        <v>109</v>
      </c>
      <c r="F158">
        <v>1</v>
      </c>
      <c r="G158">
        <f t="shared" si="2"/>
        <v>90</v>
      </c>
      <c r="H158" s="63">
        <v>90</v>
      </c>
      <c r="I158" s="57" t="s">
        <v>28</v>
      </c>
      <c r="J158"/>
      <c r="K158"/>
    </row>
    <row r="159" spans="1:11" ht="15.6" customHeight="1">
      <c r="A159" s="9">
        <v>135</v>
      </c>
      <c r="B159" s="1" t="s">
        <v>1</v>
      </c>
      <c r="C159" s="41">
        <v>24</v>
      </c>
      <c r="D159" s="1" t="s">
        <v>45</v>
      </c>
      <c r="E159" s="42" t="s">
        <v>50</v>
      </c>
      <c r="F159">
        <v>1</v>
      </c>
      <c r="G159">
        <f t="shared" si="2"/>
        <v>400</v>
      </c>
      <c r="H159" s="63">
        <v>400</v>
      </c>
      <c r="I159" s="57" t="s">
        <v>28</v>
      </c>
      <c r="J159"/>
      <c r="K159"/>
    </row>
    <row r="160" spans="1:11" ht="15.6" customHeight="1">
      <c r="A160" s="9">
        <v>135</v>
      </c>
      <c r="B160" s="1" t="s">
        <v>1</v>
      </c>
      <c r="C160" s="41">
        <v>25</v>
      </c>
      <c r="D160" s="1" t="s">
        <v>45</v>
      </c>
      <c r="E160" s="42" t="s">
        <v>85</v>
      </c>
      <c r="F160">
        <v>7.5</v>
      </c>
      <c r="G160">
        <f t="shared" si="2"/>
        <v>60</v>
      </c>
      <c r="H160" s="63">
        <v>450</v>
      </c>
      <c r="I160" s="57" t="s">
        <v>28</v>
      </c>
      <c r="J160"/>
      <c r="K160"/>
    </row>
    <row r="161" spans="1:11" ht="15.6" customHeight="1">
      <c r="A161" s="9">
        <v>135</v>
      </c>
      <c r="B161" s="1" t="s">
        <v>1</v>
      </c>
      <c r="C161" s="41">
        <v>25</v>
      </c>
      <c r="D161" s="1" t="s">
        <v>45</v>
      </c>
      <c r="E161" s="42" t="s">
        <v>108</v>
      </c>
      <c r="F161">
        <v>7</v>
      </c>
      <c r="G161">
        <f t="shared" si="2"/>
        <v>50</v>
      </c>
      <c r="H161" s="63">
        <v>350</v>
      </c>
      <c r="I161" s="57" t="s">
        <v>28</v>
      </c>
      <c r="J161"/>
      <c r="K161"/>
    </row>
    <row r="162" spans="1:11" ht="15.6" customHeight="1">
      <c r="A162" s="9">
        <v>135</v>
      </c>
      <c r="B162" s="1" t="s">
        <v>1</v>
      </c>
      <c r="C162" s="41">
        <v>25</v>
      </c>
      <c r="D162" s="1" t="s">
        <v>45</v>
      </c>
      <c r="E162" s="42" t="s">
        <v>50</v>
      </c>
      <c r="F162">
        <v>1</v>
      </c>
      <c r="G162">
        <f t="shared" si="2"/>
        <v>100</v>
      </c>
      <c r="H162" s="63">
        <v>100</v>
      </c>
      <c r="I162" s="57" t="s">
        <v>28</v>
      </c>
      <c r="J162"/>
      <c r="K162"/>
    </row>
    <row r="163" spans="1:11" ht="15.6" customHeight="1">
      <c r="A163" s="9">
        <v>135</v>
      </c>
      <c r="B163" s="1" t="s">
        <v>1</v>
      </c>
      <c r="C163" s="41">
        <v>25</v>
      </c>
      <c r="D163" s="1" t="s">
        <v>45</v>
      </c>
      <c r="E163" s="42" t="s">
        <v>33</v>
      </c>
      <c r="F163">
        <v>30</v>
      </c>
      <c r="G163">
        <f>H163/F163</f>
        <v>640</v>
      </c>
      <c r="H163" s="31">
        <v>19200</v>
      </c>
      <c r="I163" s="7" t="s">
        <v>33</v>
      </c>
      <c r="J163"/>
      <c r="K163"/>
    </row>
    <row r="164" spans="1:11" ht="15.6" customHeight="1">
      <c r="A164" s="9">
        <v>135</v>
      </c>
      <c r="B164" s="1" t="s">
        <v>1</v>
      </c>
      <c r="C164" s="41">
        <v>26</v>
      </c>
      <c r="D164" s="1" t="s">
        <v>45</v>
      </c>
      <c r="E164" s="42" t="s">
        <v>53</v>
      </c>
      <c r="F164">
        <v>65</v>
      </c>
      <c r="G164">
        <f t="shared" si="2"/>
        <v>16.923076923076923</v>
      </c>
      <c r="H164" s="48">
        <v>1100</v>
      </c>
      <c r="I164" s="57" t="s">
        <v>28</v>
      </c>
      <c r="J164"/>
      <c r="K164"/>
    </row>
    <row r="165" spans="1:11" ht="15.6" customHeight="1">
      <c r="A165" s="9">
        <v>135</v>
      </c>
      <c r="B165" s="1" t="s">
        <v>1</v>
      </c>
      <c r="C165" s="41">
        <v>26</v>
      </c>
      <c r="D165" s="1" t="s">
        <v>45</v>
      </c>
      <c r="E165" s="42" t="s">
        <v>49</v>
      </c>
      <c r="F165">
        <v>20</v>
      </c>
      <c r="G165">
        <f t="shared" si="2"/>
        <v>190</v>
      </c>
      <c r="H165" s="48">
        <v>3800</v>
      </c>
      <c r="I165" s="57" t="s">
        <v>28</v>
      </c>
      <c r="J165"/>
      <c r="K165"/>
    </row>
    <row r="166" spans="1:11" ht="15.6" customHeight="1">
      <c r="A166" s="9">
        <v>135</v>
      </c>
      <c r="B166" s="1" t="s">
        <v>1</v>
      </c>
      <c r="C166" s="41">
        <v>26</v>
      </c>
      <c r="D166" s="1" t="s">
        <v>45</v>
      </c>
      <c r="E166" s="42" t="s">
        <v>106</v>
      </c>
      <c r="F166">
        <v>100</v>
      </c>
      <c r="G166">
        <f t="shared" si="2"/>
        <v>151</v>
      </c>
      <c r="H166" s="48">
        <v>15100</v>
      </c>
      <c r="I166" s="57" t="s">
        <v>28</v>
      </c>
      <c r="J166"/>
      <c r="K166"/>
    </row>
    <row r="167" spans="1:11" ht="15.6" customHeight="1">
      <c r="A167" s="9">
        <v>135</v>
      </c>
      <c r="B167" s="1" t="s">
        <v>1</v>
      </c>
      <c r="C167" s="41">
        <v>26</v>
      </c>
      <c r="D167" s="1" t="s">
        <v>45</v>
      </c>
      <c r="E167" s="42" t="s">
        <v>61</v>
      </c>
      <c r="F167">
        <v>3</v>
      </c>
      <c r="G167">
        <f t="shared" si="2"/>
        <v>966.66666666666663</v>
      </c>
      <c r="H167" s="48">
        <v>2900</v>
      </c>
      <c r="I167" s="57" t="s">
        <v>28</v>
      </c>
      <c r="J167"/>
      <c r="K167"/>
    </row>
    <row r="168" spans="1:11" ht="15.6" customHeight="1">
      <c r="A168" s="9">
        <v>135</v>
      </c>
      <c r="B168" s="1" t="s">
        <v>1</v>
      </c>
      <c r="C168" s="41">
        <v>26</v>
      </c>
      <c r="D168" s="1" t="s">
        <v>45</v>
      </c>
      <c r="E168" s="9" t="s">
        <v>63</v>
      </c>
      <c r="F168" s="9">
        <v>2</v>
      </c>
      <c r="G168" s="9">
        <f t="shared" si="2"/>
        <v>1550</v>
      </c>
      <c r="H168" s="16">
        <v>3100</v>
      </c>
      <c r="I168" s="57" t="s">
        <v>28</v>
      </c>
      <c r="J168"/>
      <c r="K168"/>
    </row>
    <row r="169" spans="1:11" ht="15.6" customHeight="1">
      <c r="A169" s="9">
        <v>135</v>
      </c>
      <c r="B169" s="1" t="s">
        <v>1</v>
      </c>
      <c r="C169" s="41">
        <v>26</v>
      </c>
      <c r="D169" s="1" t="s">
        <v>45</v>
      </c>
      <c r="E169" s="42" t="s">
        <v>111</v>
      </c>
      <c r="F169">
        <v>20</v>
      </c>
      <c r="G169">
        <f t="shared" si="2"/>
        <v>12</v>
      </c>
      <c r="H169" s="48">
        <v>240</v>
      </c>
      <c r="I169" s="57" t="s">
        <v>28</v>
      </c>
      <c r="J169"/>
      <c r="K169"/>
    </row>
    <row r="170" spans="1:11" ht="15" customHeight="1">
      <c r="A170" s="9">
        <v>135</v>
      </c>
      <c r="B170" s="1" t="s">
        <v>1</v>
      </c>
      <c r="C170" s="41">
        <v>26</v>
      </c>
      <c r="D170" s="1" t="s">
        <v>45</v>
      </c>
      <c r="E170" s="42" t="s">
        <v>112</v>
      </c>
      <c r="F170">
        <v>0.1</v>
      </c>
      <c r="G170">
        <f t="shared" si="2"/>
        <v>4500</v>
      </c>
      <c r="H170" s="48">
        <v>450</v>
      </c>
      <c r="I170" s="57" t="s">
        <v>28</v>
      </c>
      <c r="J170"/>
      <c r="K170"/>
    </row>
    <row r="171" spans="1:11" ht="15" customHeight="1">
      <c r="A171" s="9">
        <v>135</v>
      </c>
      <c r="B171" s="1" t="s">
        <v>1</v>
      </c>
      <c r="C171" s="41">
        <v>26</v>
      </c>
      <c r="D171" s="1" t="s">
        <v>45</v>
      </c>
      <c r="E171" s="9" t="s">
        <v>85</v>
      </c>
      <c r="F171" s="9">
        <v>12</v>
      </c>
      <c r="G171" s="9">
        <f t="shared" si="2"/>
        <v>60</v>
      </c>
      <c r="H171" s="16">
        <v>720</v>
      </c>
      <c r="I171" s="57" t="s">
        <v>28</v>
      </c>
      <c r="J171"/>
      <c r="K171"/>
    </row>
    <row r="172" spans="1:11" ht="15.6" customHeight="1">
      <c r="A172" s="9">
        <v>135</v>
      </c>
      <c r="B172" s="1" t="s">
        <v>1</v>
      </c>
      <c r="C172" s="41">
        <v>26</v>
      </c>
      <c r="D172" s="1" t="s">
        <v>45</v>
      </c>
      <c r="E172" s="42" t="s">
        <v>108</v>
      </c>
      <c r="F172">
        <v>5</v>
      </c>
      <c r="G172">
        <f t="shared" si="2"/>
        <v>48</v>
      </c>
      <c r="H172" s="48">
        <v>240</v>
      </c>
      <c r="I172" s="57" t="s">
        <v>28</v>
      </c>
      <c r="J172"/>
      <c r="K172"/>
    </row>
    <row r="173" spans="1:11" ht="15.6" customHeight="1">
      <c r="A173" s="9">
        <v>135</v>
      </c>
      <c r="B173" s="1" t="s">
        <v>1</v>
      </c>
      <c r="C173" s="41">
        <v>26</v>
      </c>
      <c r="D173" s="1" t="s">
        <v>45</v>
      </c>
      <c r="E173" s="42" t="s">
        <v>82</v>
      </c>
      <c r="F173">
        <v>5</v>
      </c>
      <c r="G173">
        <f t="shared" si="2"/>
        <v>70</v>
      </c>
      <c r="H173" s="48">
        <v>350</v>
      </c>
      <c r="I173" s="57" t="s">
        <v>28</v>
      </c>
      <c r="J173"/>
      <c r="K173"/>
    </row>
    <row r="174" spans="1:11" ht="15.6" customHeight="1">
      <c r="A174" s="9">
        <v>135</v>
      </c>
      <c r="B174" s="1" t="s">
        <v>1</v>
      </c>
      <c r="C174" s="41">
        <v>26</v>
      </c>
      <c r="D174" s="1" t="s">
        <v>45</v>
      </c>
      <c r="E174" s="42" t="s">
        <v>50</v>
      </c>
      <c r="F174">
        <v>1</v>
      </c>
      <c r="G174">
        <f t="shared" si="2"/>
        <v>700</v>
      </c>
      <c r="H174" s="48">
        <v>700</v>
      </c>
      <c r="I174" s="57" t="s">
        <v>28</v>
      </c>
      <c r="J174"/>
      <c r="K174"/>
    </row>
    <row r="175" spans="1:11" ht="15.6" customHeight="1">
      <c r="A175" s="9">
        <v>135</v>
      </c>
      <c r="B175" s="1" t="s">
        <v>1</v>
      </c>
      <c r="C175" s="41">
        <v>27</v>
      </c>
      <c r="D175" s="1" t="s">
        <v>45</v>
      </c>
      <c r="E175" s="42" t="s">
        <v>86</v>
      </c>
      <c r="F175">
        <v>120</v>
      </c>
      <c r="G175">
        <f t="shared" si="2"/>
        <v>13</v>
      </c>
      <c r="H175" s="48">
        <v>1560</v>
      </c>
      <c r="I175" s="57" t="s">
        <v>28</v>
      </c>
      <c r="J175"/>
      <c r="K175"/>
    </row>
    <row r="176" spans="1:11" ht="15" customHeight="1">
      <c r="A176" s="9">
        <v>135</v>
      </c>
      <c r="B176" s="1" t="s">
        <v>1</v>
      </c>
      <c r="C176" s="41">
        <v>27</v>
      </c>
      <c r="D176" s="1" t="s">
        <v>45</v>
      </c>
      <c r="E176" s="42" t="s">
        <v>113</v>
      </c>
      <c r="F176">
        <v>6</v>
      </c>
      <c r="G176">
        <f t="shared" si="2"/>
        <v>120</v>
      </c>
      <c r="H176" s="48">
        <v>720</v>
      </c>
      <c r="I176" s="57" t="s">
        <v>28</v>
      </c>
      <c r="J176"/>
      <c r="K176"/>
    </row>
    <row r="177" spans="1:11" ht="15" customHeight="1">
      <c r="A177" s="9">
        <v>135</v>
      </c>
      <c r="B177" s="1" t="s">
        <v>1</v>
      </c>
      <c r="C177" s="41">
        <v>27</v>
      </c>
      <c r="D177" s="1" t="s">
        <v>45</v>
      </c>
      <c r="E177" s="42" t="s">
        <v>114</v>
      </c>
      <c r="F177">
        <v>2</v>
      </c>
      <c r="G177">
        <f t="shared" si="2"/>
        <v>120</v>
      </c>
      <c r="H177" s="48">
        <v>240</v>
      </c>
      <c r="I177" s="57" t="s">
        <v>28</v>
      </c>
      <c r="J177"/>
      <c r="K177"/>
    </row>
    <row r="178" spans="1:11" ht="15" customHeight="1">
      <c r="A178" s="9">
        <v>135</v>
      </c>
      <c r="B178" s="1" t="s">
        <v>1</v>
      </c>
      <c r="C178" s="41">
        <v>27</v>
      </c>
      <c r="D178" s="1" t="s">
        <v>45</v>
      </c>
      <c r="E178" s="42" t="s">
        <v>50</v>
      </c>
      <c r="F178">
        <v>1</v>
      </c>
      <c r="G178">
        <f t="shared" si="2"/>
        <v>150</v>
      </c>
      <c r="H178" s="48">
        <v>150</v>
      </c>
      <c r="I178" s="57" t="s">
        <v>28</v>
      </c>
      <c r="J178"/>
      <c r="K178"/>
    </row>
    <row r="179" spans="1:11" ht="15" customHeight="1">
      <c r="A179" s="9">
        <v>135</v>
      </c>
      <c r="B179" s="1" t="s">
        <v>1</v>
      </c>
      <c r="C179" s="41">
        <v>27</v>
      </c>
      <c r="D179" s="1" t="s">
        <v>45</v>
      </c>
      <c r="E179" s="42" t="s">
        <v>61</v>
      </c>
      <c r="F179">
        <v>1</v>
      </c>
      <c r="G179">
        <f t="shared" si="2"/>
        <v>1920</v>
      </c>
      <c r="H179" s="48">
        <v>1920</v>
      </c>
      <c r="I179" s="57" t="s">
        <v>28</v>
      </c>
      <c r="J179"/>
      <c r="K179"/>
    </row>
    <row r="180" spans="1:11" ht="15" customHeight="1">
      <c r="A180" s="9">
        <v>135</v>
      </c>
      <c r="B180" s="1" t="s">
        <v>1</v>
      </c>
      <c r="C180" s="41">
        <v>27</v>
      </c>
      <c r="D180" s="1" t="s">
        <v>45</v>
      </c>
      <c r="E180" s="42" t="s">
        <v>115</v>
      </c>
      <c r="F180">
        <v>4</v>
      </c>
      <c r="G180">
        <f t="shared" si="2"/>
        <v>250</v>
      </c>
      <c r="H180" s="48">
        <v>1000</v>
      </c>
      <c r="I180" s="57"/>
      <c r="J180"/>
      <c r="K180"/>
    </row>
    <row r="181" spans="1:11" ht="15" customHeight="1">
      <c r="A181" s="9">
        <v>135</v>
      </c>
      <c r="B181" s="1" t="s">
        <v>1</v>
      </c>
      <c r="C181" s="41">
        <v>27</v>
      </c>
      <c r="D181" s="1" t="s">
        <v>45</v>
      </c>
      <c r="E181" s="42" t="s">
        <v>116</v>
      </c>
      <c r="F181">
        <v>1</v>
      </c>
      <c r="G181">
        <f t="shared" si="2"/>
        <v>1850</v>
      </c>
      <c r="H181" s="48">
        <v>1850</v>
      </c>
      <c r="I181" s="57" t="s">
        <v>117</v>
      </c>
      <c r="J181"/>
      <c r="K181"/>
    </row>
    <row r="182" spans="1:11" ht="15" customHeight="1">
      <c r="A182" s="9">
        <v>135</v>
      </c>
      <c r="B182" s="1" t="s">
        <v>1</v>
      </c>
      <c r="C182" s="41">
        <v>27</v>
      </c>
      <c r="D182" s="1" t="s">
        <v>47</v>
      </c>
      <c r="E182" s="42" t="s">
        <v>53</v>
      </c>
      <c r="F182">
        <v>390</v>
      </c>
      <c r="G182">
        <f t="shared" si="2"/>
        <v>14</v>
      </c>
      <c r="H182" s="48">
        <v>5460</v>
      </c>
      <c r="I182" s="35" t="s">
        <v>83</v>
      </c>
      <c r="J182"/>
      <c r="K182"/>
    </row>
    <row r="183" spans="1:11" ht="15" customHeight="1">
      <c r="A183" s="9">
        <v>135</v>
      </c>
      <c r="B183" s="1" t="s">
        <v>1</v>
      </c>
      <c r="C183" s="41">
        <v>27</v>
      </c>
      <c r="D183" s="1" t="s">
        <v>47</v>
      </c>
      <c r="E183" s="42" t="s">
        <v>79</v>
      </c>
      <c r="F183">
        <v>2</v>
      </c>
      <c r="G183">
        <f t="shared" si="2"/>
        <v>560</v>
      </c>
      <c r="H183" s="48">
        <v>1120</v>
      </c>
      <c r="I183" s="35" t="s">
        <v>83</v>
      </c>
      <c r="J183"/>
      <c r="K183"/>
    </row>
    <row r="184" spans="1:11" ht="15.6" customHeight="1">
      <c r="A184" s="9">
        <v>135</v>
      </c>
      <c r="B184" s="1" t="s">
        <v>1</v>
      </c>
      <c r="C184" s="41">
        <v>27</v>
      </c>
      <c r="D184" s="1" t="s">
        <v>47</v>
      </c>
      <c r="E184" s="42" t="s">
        <v>67</v>
      </c>
      <c r="F184">
        <v>10</v>
      </c>
      <c r="G184">
        <f t="shared" si="2"/>
        <v>150</v>
      </c>
      <c r="H184" s="48">
        <v>1500</v>
      </c>
      <c r="I184" s="35" t="s">
        <v>83</v>
      </c>
      <c r="J184"/>
      <c r="K184"/>
    </row>
    <row r="185" spans="1:11" ht="15" customHeight="1">
      <c r="A185" s="9">
        <v>135</v>
      </c>
      <c r="B185" s="1" t="s">
        <v>1</v>
      </c>
      <c r="C185" s="41">
        <v>27</v>
      </c>
      <c r="D185" s="1" t="s">
        <v>47</v>
      </c>
      <c r="E185" s="42" t="s">
        <v>62</v>
      </c>
      <c r="F185">
        <v>1</v>
      </c>
      <c r="G185">
        <f t="shared" si="2"/>
        <v>480</v>
      </c>
      <c r="H185" s="48">
        <v>480</v>
      </c>
      <c r="I185" s="35" t="s">
        <v>83</v>
      </c>
      <c r="J185"/>
      <c r="K185"/>
    </row>
    <row r="186" spans="1:11" ht="15" customHeight="1">
      <c r="A186" s="9">
        <v>135</v>
      </c>
      <c r="B186" s="1" t="s">
        <v>1</v>
      </c>
      <c r="C186" s="41">
        <v>27</v>
      </c>
      <c r="D186" s="1" t="s">
        <v>47</v>
      </c>
      <c r="E186" s="42" t="s">
        <v>54</v>
      </c>
      <c r="F186">
        <v>20</v>
      </c>
      <c r="G186">
        <f t="shared" si="2"/>
        <v>112</v>
      </c>
      <c r="H186" s="48">
        <v>2240</v>
      </c>
      <c r="I186" s="35" t="s">
        <v>83</v>
      </c>
      <c r="J186"/>
      <c r="K186"/>
    </row>
    <row r="187" spans="1:11" ht="15" customHeight="1">
      <c r="A187" s="9">
        <v>135</v>
      </c>
      <c r="B187" s="1" t="s">
        <v>1</v>
      </c>
      <c r="C187" s="41">
        <v>27</v>
      </c>
      <c r="D187" s="1" t="s">
        <v>47</v>
      </c>
      <c r="E187" s="42" t="s">
        <v>80</v>
      </c>
      <c r="F187">
        <v>2</v>
      </c>
      <c r="G187">
        <f t="shared" si="2"/>
        <v>180</v>
      </c>
      <c r="H187" s="48">
        <v>360</v>
      </c>
      <c r="I187" s="35" t="s">
        <v>83</v>
      </c>
      <c r="J187"/>
      <c r="K187"/>
    </row>
    <row r="188" spans="1:11" ht="15.6" customHeight="1">
      <c r="A188" s="9">
        <v>135</v>
      </c>
      <c r="B188" s="1" t="s">
        <v>1</v>
      </c>
      <c r="C188" s="41">
        <v>27</v>
      </c>
      <c r="D188" s="1" t="s">
        <v>47</v>
      </c>
      <c r="E188" s="42" t="s">
        <v>49</v>
      </c>
      <c r="F188">
        <v>16</v>
      </c>
      <c r="G188">
        <f t="shared" si="2"/>
        <v>200</v>
      </c>
      <c r="H188" s="48">
        <v>3200</v>
      </c>
      <c r="I188" s="35" t="s">
        <v>83</v>
      </c>
      <c r="J188"/>
      <c r="K188"/>
    </row>
    <row r="189" spans="1:11" ht="15" customHeight="1">
      <c r="A189" s="9">
        <v>135</v>
      </c>
      <c r="B189" s="1" t="s">
        <v>1</v>
      </c>
      <c r="C189" s="41">
        <v>27</v>
      </c>
      <c r="D189" s="1" t="s">
        <v>47</v>
      </c>
      <c r="E189" s="42" t="s">
        <v>52</v>
      </c>
      <c r="F189">
        <v>50</v>
      </c>
      <c r="G189">
        <f t="shared" si="2"/>
        <v>45.4</v>
      </c>
      <c r="H189" s="48">
        <v>2270</v>
      </c>
      <c r="I189" s="35" t="s">
        <v>83</v>
      </c>
      <c r="J189"/>
      <c r="K189"/>
    </row>
    <row r="190" spans="1:11" ht="15.6" customHeight="1">
      <c r="A190" s="9">
        <v>135</v>
      </c>
      <c r="B190" s="1" t="s">
        <v>1</v>
      </c>
      <c r="C190" s="41">
        <v>27</v>
      </c>
      <c r="D190" s="1" t="s">
        <v>47</v>
      </c>
      <c r="E190" s="42" t="s">
        <v>118</v>
      </c>
      <c r="F190">
        <v>90</v>
      </c>
      <c r="G190">
        <f t="shared" ref="G190:G269" si="3">H190/F190</f>
        <v>152</v>
      </c>
      <c r="H190" s="48">
        <v>13680</v>
      </c>
      <c r="I190" s="35" t="s">
        <v>83</v>
      </c>
      <c r="J190"/>
      <c r="K190"/>
    </row>
    <row r="191" spans="1:11" ht="15" customHeight="1">
      <c r="A191" s="9">
        <v>135</v>
      </c>
      <c r="B191" s="1" t="s">
        <v>1</v>
      </c>
      <c r="C191" s="41">
        <v>27</v>
      </c>
      <c r="D191" s="1" t="s">
        <v>47</v>
      </c>
      <c r="E191" s="42" t="s">
        <v>58</v>
      </c>
      <c r="F191">
        <v>40</v>
      </c>
      <c r="G191">
        <f t="shared" si="3"/>
        <v>40</v>
      </c>
      <c r="H191" s="48">
        <v>1600</v>
      </c>
      <c r="I191" s="35" t="s">
        <v>83</v>
      </c>
      <c r="J191"/>
      <c r="K191"/>
    </row>
    <row r="192" spans="1:11" ht="15" customHeight="1">
      <c r="A192" s="9">
        <v>135</v>
      </c>
      <c r="B192" s="1" t="s">
        <v>1</v>
      </c>
      <c r="C192" s="41">
        <v>27</v>
      </c>
      <c r="D192" s="1" t="s">
        <v>47</v>
      </c>
      <c r="E192" s="42" t="s">
        <v>48</v>
      </c>
      <c r="F192">
        <v>960</v>
      </c>
      <c r="G192">
        <f t="shared" si="3"/>
        <v>65</v>
      </c>
      <c r="H192" s="48">
        <v>62400</v>
      </c>
      <c r="I192" s="35" t="s">
        <v>83</v>
      </c>
      <c r="J192"/>
      <c r="K192"/>
    </row>
    <row r="193" spans="1:13" ht="15" customHeight="1">
      <c r="A193" s="9">
        <v>135</v>
      </c>
      <c r="B193" s="1" t="s">
        <v>1</v>
      </c>
      <c r="C193" s="41">
        <v>27</v>
      </c>
      <c r="D193" s="1" t="s">
        <v>47</v>
      </c>
      <c r="E193" s="42" t="s">
        <v>48</v>
      </c>
      <c r="F193">
        <v>92</v>
      </c>
      <c r="G193">
        <f t="shared" si="3"/>
        <v>93.913043478260875</v>
      </c>
      <c r="H193" s="48">
        <v>8640</v>
      </c>
      <c r="I193" s="35" t="s">
        <v>83</v>
      </c>
      <c r="J193"/>
      <c r="K193"/>
    </row>
    <row r="194" spans="1:13" ht="15.6" customHeight="1">
      <c r="A194" s="9">
        <v>135</v>
      </c>
      <c r="B194" s="1" t="s">
        <v>1</v>
      </c>
      <c r="C194" s="41">
        <v>27</v>
      </c>
      <c r="D194" s="1" t="s">
        <v>47</v>
      </c>
      <c r="E194" s="42" t="s">
        <v>119</v>
      </c>
      <c r="F194">
        <v>1</v>
      </c>
      <c r="G194">
        <f t="shared" si="3"/>
        <v>50</v>
      </c>
      <c r="H194" s="48">
        <v>50</v>
      </c>
      <c r="I194" s="35" t="s">
        <v>83</v>
      </c>
      <c r="J194"/>
      <c r="K194"/>
    </row>
    <row r="195" spans="1:13" ht="15.6" customHeight="1">
      <c r="A195" s="9">
        <v>135</v>
      </c>
      <c r="B195" s="1" t="s">
        <v>1</v>
      </c>
      <c r="C195" s="41">
        <v>27</v>
      </c>
      <c r="D195" s="1" t="s">
        <v>47</v>
      </c>
      <c r="E195" s="42" t="s">
        <v>90</v>
      </c>
      <c r="F195">
        <v>1</v>
      </c>
      <c r="G195">
        <f t="shared" si="3"/>
        <v>120</v>
      </c>
      <c r="H195" s="48">
        <v>120</v>
      </c>
      <c r="I195" s="35" t="s">
        <v>83</v>
      </c>
      <c r="J195"/>
      <c r="K195"/>
    </row>
    <row r="196" spans="1:13" ht="15.6" customHeight="1">
      <c r="A196" s="9">
        <v>135</v>
      </c>
      <c r="B196" s="1" t="s">
        <v>1</v>
      </c>
      <c r="C196" s="41">
        <v>27</v>
      </c>
      <c r="D196" s="1" t="s">
        <v>47</v>
      </c>
      <c r="E196" s="42" t="s">
        <v>69</v>
      </c>
      <c r="F196">
        <v>1</v>
      </c>
      <c r="G196">
        <f t="shared" si="3"/>
        <v>3000</v>
      </c>
      <c r="H196" s="48">
        <v>3000</v>
      </c>
      <c r="I196" s="35" t="s">
        <v>83</v>
      </c>
      <c r="J196"/>
      <c r="K196"/>
    </row>
    <row r="197" spans="1:13" ht="15" customHeight="1">
      <c r="A197" s="9">
        <v>135</v>
      </c>
      <c r="B197" s="1" t="s">
        <v>1</v>
      </c>
      <c r="C197" s="41">
        <v>27</v>
      </c>
      <c r="D197" s="1" t="s">
        <v>47</v>
      </c>
      <c r="E197" s="42" t="s">
        <v>49</v>
      </c>
      <c r="F197">
        <v>1</v>
      </c>
      <c r="G197">
        <f t="shared" si="3"/>
        <v>12500</v>
      </c>
      <c r="H197" s="48">
        <v>12500</v>
      </c>
      <c r="I197" s="35" t="s">
        <v>83</v>
      </c>
      <c r="J197"/>
      <c r="K197"/>
    </row>
    <row r="198" spans="1:13" ht="15" customHeight="1">
      <c r="A198" s="9">
        <v>135</v>
      </c>
      <c r="B198" s="1" t="s">
        <v>1</v>
      </c>
      <c r="C198" s="41">
        <v>27</v>
      </c>
      <c r="D198" s="1" t="s">
        <v>45</v>
      </c>
      <c r="E198" s="42" t="s">
        <v>68</v>
      </c>
      <c r="F198">
        <v>116</v>
      </c>
      <c r="G198">
        <f t="shared" si="3"/>
        <v>39.655172413793103</v>
      </c>
      <c r="H198" s="48">
        <v>4600</v>
      </c>
      <c r="I198" s="35" t="s">
        <v>83</v>
      </c>
      <c r="J198"/>
      <c r="K198"/>
    </row>
    <row r="199" spans="1:13" ht="15" customHeight="1">
      <c r="A199" s="9">
        <v>135</v>
      </c>
      <c r="B199" s="1" t="s">
        <v>1</v>
      </c>
      <c r="C199" s="41">
        <v>27</v>
      </c>
      <c r="D199" s="1" t="s">
        <v>45</v>
      </c>
      <c r="E199" s="42" t="s">
        <v>56</v>
      </c>
      <c r="F199">
        <v>20</v>
      </c>
      <c r="G199">
        <f t="shared" si="3"/>
        <v>32.5</v>
      </c>
      <c r="H199" s="48">
        <v>650</v>
      </c>
      <c r="I199" s="35" t="s">
        <v>83</v>
      </c>
      <c r="J199"/>
      <c r="K199"/>
    </row>
    <row r="200" spans="1:13" ht="15" customHeight="1">
      <c r="A200" s="9">
        <v>135</v>
      </c>
      <c r="B200" s="1" t="s">
        <v>1</v>
      </c>
      <c r="C200" s="41">
        <v>27</v>
      </c>
      <c r="D200" s="1" t="s">
        <v>45</v>
      </c>
      <c r="E200" s="42" t="s">
        <v>120</v>
      </c>
      <c r="F200">
        <v>1</v>
      </c>
      <c r="G200">
        <f t="shared" si="3"/>
        <v>100</v>
      </c>
      <c r="H200" s="48">
        <v>100</v>
      </c>
      <c r="I200" s="35" t="s">
        <v>83</v>
      </c>
      <c r="J200"/>
      <c r="K200"/>
    </row>
    <row r="201" spans="1:13">
      <c r="A201" s="9">
        <v>135</v>
      </c>
      <c r="B201" s="1" t="s">
        <v>1</v>
      </c>
      <c r="C201" s="41">
        <v>27</v>
      </c>
      <c r="D201" s="1" t="s">
        <v>45</v>
      </c>
      <c r="E201" s="42" t="s">
        <v>69</v>
      </c>
      <c r="F201">
        <v>1</v>
      </c>
      <c r="G201">
        <f t="shared" si="3"/>
        <v>600</v>
      </c>
      <c r="H201" s="48">
        <v>600</v>
      </c>
      <c r="I201" s="35" t="s">
        <v>83</v>
      </c>
      <c r="J201"/>
      <c r="K201"/>
      <c r="L201"/>
      <c r="M201"/>
    </row>
    <row r="202" spans="1:13" ht="15" customHeight="1">
      <c r="A202" s="9">
        <v>135</v>
      </c>
      <c r="B202" s="1" t="s">
        <v>1</v>
      </c>
      <c r="C202" s="41">
        <v>27</v>
      </c>
      <c r="D202" s="1" t="s">
        <v>45</v>
      </c>
      <c r="E202" t="s">
        <v>108</v>
      </c>
      <c r="F202">
        <v>760</v>
      </c>
      <c r="G202">
        <v>25</v>
      </c>
      <c r="H202" s="31">
        <f t="shared" ref="H202:H208" si="4">F$202:F$208*G$202:G$208</f>
        <v>19000</v>
      </c>
      <c r="I202" s="64" t="s">
        <v>34</v>
      </c>
      <c r="J202"/>
      <c r="K202"/>
    </row>
    <row r="203" spans="1:13" ht="15" customHeight="1">
      <c r="A203" s="9">
        <v>135</v>
      </c>
      <c r="B203" s="1" t="s">
        <v>1</v>
      </c>
      <c r="C203" s="41">
        <v>27</v>
      </c>
      <c r="D203" s="1" t="s">
        <v>45</v>
      </c>
      <c r="E203" t="s">
        <v>121</v>
      </c>
      <c r="F203">
        <v>320</v>
      </c>
      <c r="G203">
        <v>5</v>
      </c>
      <c r="H203" s="31">
        <f t="shared" si="4"/>
        <v>1600</v>
      </c>
      <c r="I203" s="64" t="s">
        <v>34</v>
      </c>
      <c r="J203"/>
      <c r="K203"/>
    </row>
    <row r="204" spans="1:13" ht="15.6" customHeight="1">
      <c r="A204" s="9">
        <v>135</v>
      </c>
      <c r="B204" s="1" t="s">
        <v>1</v>
      </c>
      <c r="C204" s="41">
        <v>27</v>
      </c>
      <c r="D204" s="1" t="s">
        <v>45</v>
      </c>
      <c r="E204" t="s">
        <v>122</v>
      </c>
      <c r="F204">
        <v>68</v>
      </c>
      <c r="G204">
        <v>100</v>
      </c>
      <c r="H204" s="31">
        <f t="shared" si="4"/>
        <v>6800</v>
      </c>
      <c r="I204" s="64" t="s">
        <v>34</v>
      </c>
      <c r="J204"/>
      <c r="K204"/>
    </row>
    <row r="205" spans="1:13" ht="15.6" customHeight="1">
      <c r="A205" s="9">
        <v>135</v>
      </c>
      <c r="B205" s="1" t="s">
        <v>1</v>
      </c>
      <c r="C205" s="41">
        <v>27</v>
      </c>
      <c r="D205" s="1" t="s">
        <v>45</v>
      </c>
      <c r="E205" t="s">
        <v>64</v>
      </c>
      <c r="F205">
        <v>5</v>
      </c>
      <c r="G205">
        <v>180</v>
      </c>
      <c r="H205" s="31">
        <f t="shared" si="4"/>
        <v>900</v>
      </c>
      <c r="I205" s="64" t="s">
        <v>34</v>
      </c>
      <c r="J205"/>
      <c r="K205"/>
    </row>
    <row r="206" spans="1:13" ht="15.6" customHeight="1">
      <c r="A206" s="9">
        <v>135</v>
      </c>
      <c r="B206" s="1" t="s">
        <v>1</v>
      </c>
      <c r="C206" s="41">
        <v>27</v>
      </c>
      <c r="D206" s="1" t="s">
        <v>45</v>
      </c>
      <c r="E206" t="s">
        <v>108</v>
      </c>
      <c r="F206">
        <v>480</v>
      </c>
      <c r="G206">
        <v>20</v>
      </c>
      <c r="H206" s="31">
        <f t="shared" si="4"/>
        <v>9600</v>
      </c>
      <c r="I206" s="64" t="s">
        <v>34</v>
      </c>
      <c r="J206"/>
      <c r="K206"/>
    </row>
    <row r="207" spans="1:13" ht="15.6" customHeight="1">
      <c r="A207" s="9">
        <v>135</v>
      </c>
      <c r="B207" s="1" t="s">
        <v>1</v>
      </c>
      <c r="C207" s="41">
        <v>27</v>
      </c>
      <c r="D207" s="1" t="s">
        <v>45</v>
      </c>
      <c r="E207" t="s">
        <v>121</v>
      </c>
      <c r="F207">
        <v>208</v>
      </c>
      <c r="G207">
        <v>20</v>
      </c>
      <c r="H207" s="31">
        <f t="shared" si="4"/>
        <v>4160</v>
      </c>
      <c r="I207" s="64" t="s">
        <v>34</v>
      </c>
      <c r="J207"/>
      <c r="K207"/>
    </row>
    <row r="208" spans="1:13" ht="15" customHeight="1">
      <c r="A208" s="9">
        <v>135</v>
      </c>
      <c r="B208" s="1" t="s">
        <v>1</v>
      </c>
      <c r="C208" s="41">
        <v>27</v>
      </c>
      <c r="D208" s="1" t="s">
        <v>45</v>
      </c>
      <c r="E208" t="s">
        <v>122</v>
      </c>
      <c r="F208">
        <v>35</v>
      </c>
      <c r="G208">
        <v>100</v>
      </c>
      <c r="H208" s="31">
        <f t="shared" si="4"/>
        <v>3500</v>
      </c>
      <c r="I208" s="64" t="s">
        <v>34</v>
      </c>
      <c r="J208"/>
      <c r="K208"/>
    </row>
    <row r="209" spans="1:11" ht="15" customHeight="1">
      <c r="A209" s="9">
        <v>135</v>
      </c>
      <c r="B209" s="1" t="s">
        <v>1</v>
      </c>
      <c r="C209" s="41">
        <v>27</v>
      </c>
      <c r="D209" s="1" t="s">
        <v>45</v>
      </c>
      <c r="E209" t="s">
        <v>123</v>
      </c>
      <c r="F209">
        <v>13.5</v>
      </c>
      <c r="G209">
        <f>H209/F209</f>
        <v>300</v>
      </c>
      <c r="H209" s="31">
        <v>4050</v>
      </c>
      <c r="I209" s="64"/>
      <c r="J209"/>
      <c r="K209"/>
    </row>
    <row r="210" spans="1:11" ht="15" customHeight="1">
      <c r="A210" s="9">
        <v>135</v>
      </c>
      <c r="B210" s="1" t="s">
        <v>1</v>
      </c>
      <c r="C210" s="41">
        <v>27</v>
      </c>
      <c r="D210" s="1" t="s">
        <v>45</v>
      </c>
      <c r="E210" t="s">
        <v>101</v>
      </c>
      <c r="F210">
        <v>21</v>
      </c>
      <c r="G210">
        <f>H210/F210</f>
        <v>170</v>
      </c>
      <c r="H210" s="31">
        <v>3570</v>
      </c>
      <c r="I210" s="64"/>
      <c r="J210"/>
      <c r="K210"/>
    </row>
    <row r="211" spans="1:11" ht="15" customHeight="1">
      <c r="A211" s="9">
        <v>135</v>
      </c>
      <c r="B211" s="1" t="s">
        <v>1</v>
      </c>
      <c r="C211" s="41">
        <v>27</v>
      </c>
      <c r="D211" s="1" t="s">
        <v>45</v>
      </c>
      <c r="E211" t="s">
        <v>100</v>
      </c>
      <c r="F211">
        <v>38</v>
      </c>
      <c r="G211">
        <f>H211/F211</f>
        <v>60</v>
      </c>
      <c r="H211" s="31">
        <v>2280</v>
      </c>
      <c r="I211" s="64"/>
      <c r="J211"/>
      <c r="K211"/>
    </row>
    <row r="212" spans="1:11" ht="15" customHeight="1">
      <c r="A212" s="9">
        <v>135</v>
      </c>
      <c r="B212" s="1" t="s">
        <v>1</v>
      </c>
      <c r="C212" s="41">
        <v>27</v>
      </c>
      <c r="D212" s="1" t="s">
        <v>45</v>
      </c>
      <c r="E212" t="s">
        <v>101</v>
      </c>
      <c r="F212">
        <v>20</v>
      </c>
      <c r="G212">
        <f>H212/F212</f>
        <v>170</v>
      </c>
      <c r="H212" s="31">
        <v>3400</v>
      </c>
      <c r="I212" s="64"/>
      <c r="J212"/>
      <c r="K212" t="s">
        <v>124</v>
      </c>
    </row>
    <row r="213" spans="1:11" ht="15" customHeight="1">
      <c r="A213" s="9">
        <v>135</v>
      </c>
      <c r="B213" s="1" t="s">
        <v>1</v>
      </c>
      <c r="C213" s="41">
        <v>27</v>
      </c>
      <c r="D213" s="1" t="s">
        <v>45</v>
      </c>
      <c r="E213" s="42" t="s">
        <v>101</v>
      </c>
      <c r="F213" s="52">
        <v>1</v>
      </c>
      <c r="G213" s="47">
        <v>1</v>
      </c>
      <c r="H213" s="48">
        <v>300</v>
      </c>
      <c r="J213"/>
      <c r="K213"/>
    </row>
    <row r="214" spans="1:11" ht="15" customHeight="1">
      <c r="A214" s="9">
        <v>135</v>
      </c>
      <c r="B214" s="1" t="s">
        <v>1</v>
      </c>
      <c r="C214" s="41">
        <v>27</v>
      </c>
      <c r="D214" s="1" t="s">
        <v>45</v>
      </c>
      <c r="E214" t="s">
        <v>60</v>
      </c>
      <c r="F214">
        <v>6</v>
      </c>
      <c r="G214">
        <f>H214/F214</f>
        <v>1150</v>
      </c>
      <c r="H214" s="31">
        <v>6900</v>
      </c>
      <c r="I214" s="64" t="s">
        <v>38</v>
      </c>
      <c r="J214"/>
      <c r="K214"/>
    </row>
    <row r="215" spans="1:11" ht="15.6" customHeight="1">
      <c r="A215" s="9">
        <v>135</v>
      </c>
      <c r="B215" s="1" t="s">
        <v>1</v>
      </c>
      <c r="C215" s="41">
        <v>27</v>
      </c>
      <c r="D215" s="1" t="s">
        <v>45</v>
      </c>
      <c r="E215" s="42" t="s">
        <v>32</v>
      </c>
      <c r="F215">
        <v>700</v>
      </c>
      <c r="G215">
        <f>H215/F215</f>
        <v>8.6999999999999993</v>
      </c>
      <c r="H215" s="59">
        <v>6090</v>
      </c>
      <c r="I215" s="35" t="s">
        <v>83</v>
      </c>
      <c r="J215"/>
      <c r="K215"/>
    </row>
    <row r="216" spans="1:11" ht="15" customHeight="1">
      <c r="A216" s="9">
        <v>135</v>
      </c>
      <c r="B216" s="1" t="s">
        <v>1</v>
      </c>
      <c r="C216" s="41">
        <v>27</v>
      </c>
      <c r="D216" s="1" t="s">
        <v>45</v>
      </c>
      <c r="E216" s="42" t="s">
        <v>68</v>
      </c>
      <c r="F216">
        <v>48</v>
      </c>
      <c r="G216">
        <f>H216/F216</f>
        <v>39.583333333333336</v>
      </c>
      <c r="H216" s="63">
        <v>1900</v>
      </c>
      <c r="I216" s="35" t="s">
        <v>93</v>
      </c>
      <c r="J216"/>
      <c r="K216"/>
    </row>
    <row r="217" spans="1:11" ht="15" customHeight="1">
      <c r="A217" s="9">
        <v>135</v>
      </c>
      <c r="B217" s="1" t="s">
        <v>1</v>
      </c>
      <c r="C217" s="41">
        <v>27</v>
      </c>
      <c r="D217" s="1" t="s">
        <v>45</v>
      </c>
      <c r="E217" s="42" t="s">
        <v>33</v>
      </c>
      <c r="F217">
        <v>30</v>
      </c>
      <c r="G217">
        <f>H217/F217</f>
        <v>640</v>
      </c>
      <c r="H217" s="59">
        <v>19200</v>
      </c>
      <c r="I217" s="7" t="s">
        <v>33</v>
      </c>
      <c r="J217"/>
      <c r="K217"/>
    </row>
    <row r="218" spans="1:11" s="65" customFormat="1" ht="15" customHeight="1">
      <c r="A218" s="65">
        <v>135</v>
      </c>
      <c r="B218" s="7" t="s">
        <v>2</v>
      </c>
      <c r="C218" s="66">
        <v>1</v>
      </c>
      <c r="D218" s="67" t="s">
        <v>47</v>
      </c>
      <c r="E218" s="68" t="s">
        <v>125</v>
      </c>
      <c r="F218" s="68">
        <v>520</v>
      </c>
      <c r="G218" s="68">
        <f t="shared" si="3"/>
        <v>14</v>
      </c>
      <c r="H218" s="69">
        <v>7280</v>
      </c>
      <c r="I218" s="68"/>
      <c r="J218" s="68"/>
      <c r="K218" s="68"/>
    </row>
    <row r="219" spans="1:11" ht="15" customHeight="1">
      <c r="A219" s="9">
        <v>135</v>
      </c>
      <c r="B219" s="7" t="s">
        <v>2</v>
      </c>
      <c r="C219" s="41">
        <v>1</v>
      </c>
      <c r="D219" s="1" t="s">
        <v>47</v>
      </c>
      <c r="E219" s="42" t="s">
        <v>90</v>
      </c>
      <c r="F219">
        <v>1</v>
      </c>
      <c r="G219">
        <f t="shared" si="3"/>
        <v>160</v>
      </c>
      <c r="H219" s="31">
        <v>160</v>
      </c>
      <c r="I219"/>
      <c r="J219"/>
      <c r="K219"/>
    </row>
    <row r="220" spans="1:11" ht="15.6" customHeight="1">
      <c r="A220" s="9">
        <v>135</v>
      </c>
      <c r="B220" s="7" t="s">
        <v>2</v>
      </c>
      <c r="C220" s="41">
        <v>1</v>
      </c>
      <c r="D220" s="1" t="s">
        <v>47</v>
      </c>
      <c r="E220" s="42" t="s">
        <v>79</v>
      </c>
      <c r="F220">
        <v>3</v>
      </c>
      <c r="G220">
        <f t="shared" si="3"/>
        <v>585</v>
      </c>
      <c r="H220" s="31">
        <v>1755</v>
      </c>
      <c r="I220"/>
      <c r="J220"/>
      <c r="K220"/>
    </row>
    <row r="221" spans="1:11" ht="15.6" customHeight="1">
      <c r="A221" s="9">
        <v>135</v>
      </c>
      <c r="B221" s="7" t="s">
        <v>2</v>
      </c>
      <c r="C221" s="41">
        <v>1</v>
      </c>
      <c r="D221" s="1" t="s">
        <v>47</v>
      </c>
      <c r="E221" s="42" t="s">
        <v>62</v>
      </c>
      <c r="F221">
        <v>3</v>
      </c>
      <c r="G221">
        <f t="shared" si="3"/>
        <v>500</v>
      </c>
      <c r="H221" s="31">
        <v>1500</v>
      </c>
      <c r="I221"/>
      <c r="J221"/>
      <c r="K221"/>
    </row>
    <row r="222" spans="1:11" ht="15" customHeight="1">
      <c r="A222" s="9">
        <v>135</v>
      </c>
      <c r="B222" s="7" t="s">
        <v>2</v>
      </c>
      <c r="C222" s="41">
        <v>1</v>
      </c>
      <c r="D222" s="1" t="s">
        <v>47</v>
      </c>
      <c r="E222" s="42" t="s">
        <v>126</v>
      </c>
      <c r="F222">
        <v>1</v>
      </c>
      <c r="G222">
        <f t="shared" si="3"/>
        <v>180</v>
      </c>
      <c r="H222" s="31">
        <v>180</v>
      </c>
      <c r="I222"/>
      <c r="J222"/>
      <c r="K222"/>
    </row>
    <row r="223" spans="1:11" ht="15" customHeight="1">
      <c r="A223" s="9">
        <v>135</v>
      </c>
      <c r="B223" s="7" t="s">
        <v>2</v>
      </c>
      <c r="C223" s="41">
        <v>1</v>
      </c>
      <c r="D223" s="1" t="s">
        <v>47</v>
      </c>
      <c r="E223" s="42" t="s">
        <v>67</v>
      </c>
      <c r="F223">
        <v>30</v>
      </c>
      <c r="G223">
        <f t="shared" si="3"/>
        <v>145</v>
      </c>
      <c r="H223" s="31">
        <v>4350</v>
      </c>
      <c r="I223"/>
      <c r="J223"/>
      <c r="K223"/>
    </row>
    <row r="224" spans="1:11" ht="15" customHeight="1">
      <c r="A224" s="9">
        <v>135</v>
      </c>
      <c r="B224" s="7" t="s">
        <v>2</v>
      </c>
      <c r="C224" s="41">
        <v>1</v>
      </c>
      <c r="D224" s="1" t="s">
        <v>47</v>
      </c>
      <c r="E224" s="42" t="s">
        <v>54</v>
      </c>
      <c r="F224">
        <v>30</v>
      </c>
      <c r="G224">
        <f t="shared" si="3"/>
        <v>118</v>
      </c>
      <c r="H224" s="31">
        <v>3540</v>
      </c>
      <c r="I224"/>
      <c r="J224"/>
      <c r="K224"/>
    </row>
    <row r="225" spans="1:11" ht="15" customHeight="1">
      <c r="A225" s="9">
        <v>135</v>
      </c>
      <c r="B225" s="7" t="s">
        <v>2</v>
      </c>
      <c r="C225" s="41">
        <v>1</v>
      </c>
      <c r="D225" s="1" t="s">
        <v>47</v>
      </c>
      <c r="E225" s="42" t="s">
        <v>59</v>
      </c>
      <c r="F225">
        <v>7</v>
      </c>
      <c r="G225">
        <f t="shared" si="3"/>
        <v>220</v>
      </c>
      <c r="H225" s="31">
        <v>1540</v>
      </c>
      <c r="I225"/>
      <c r="J225"/>
      <c r="K225"/>
    </row>
    <row r="226" spans="1:11" ht="15" customHeight="1">
      <c r="A226" s="9">
        <v>135</v>
      </c>
      <c r="B226" s="7" t="s">
        <v>2</v>
      </c>
      <c r="C226" s="41">
        <v>1</v>
      </c>
      <c r="D226" s="1" t="s">
        <v>47</v>
      </c>
      <c r="E226" s="42" t="s">
        <v>81</v>
      </c>
      <c r="F226">
        <v>10</v>
      </c>
      <c r="G226">
        <f t="shared" si="3"/>
        <v>300</v>
      </c>
      <c r="H226" s="31">
        <v>3000</v>
      </c>
      <c r="I226"/>
      <c r="J226"/>
      <c r="K226"/>
    </row>
    <row r="227" spans="1:11" ht="15" customHeight="1">
      <c r="A227" s="9">
        <v>135</v>
      </c>
      <c r="B227" s="7" t="s">
        <v>2</v>
      </c>
      <c r="C227" s="41">
        <v>1</v>
      </c>
      <c r="D227" s="1" t="s">
        <v>47</v>
      </c>
      <c r="E227" s="42" t="s">
        <v>82</v>
      </c>
      <c r="F227">
        <v>10</v>
      </c>
      <c r="G227">
        <f t="shared" si="3"/>
        <v>330</v>
      </c>
      <c r="H227" s="31">
        <v>3300</v>
      </c>
      <c r="I227"/>
      <c r="J227"/>
      <c r="K227"/>
    </row>
    <row r="228" spans="1:11" ht="15" customHeight="1">
      <c r="A228" s="9">
        <v>135</v>
      </c>
      <c r="B228" s="7" t="s">
        <v>2</v>
      </c>
      <c r="C228" s="41">
        <v>1</v>
      </c>
      <c r="D228" s="1" t="s">
        <v>47</v>
      </c>
      <c r="E228" s="42" t="s">
        <v>80</v>
      </c>
      <c r="F228">
        <v>2</v>
      </c>
      <c r="G228">
        <f t="shared" si="3"/>
        <v>200</v>
      </c>
      <c r="H228" s="31">
        <v>400</v>
      </c>
      <c r="I228"/>
      <c r="J228"/>
      <c r="K228"/>
    </row>
    <row r="229" spans="1:11" ht="15" customHeight="1">
      <c r="A229" s="9">
        <v>135</v>
      </c>
      <c r="B229" s="7" t="s">
        <v>2</v>
      </c>
      <c r="C229" s="41">
        <v>1</v>
      </c>
      <c r="D229" s="1" t="s">
        <v>47</v>
      </c>
      <c r="E229" s="42" t="s">
        <v>48</v>
      </c>
      <c r="F229">
        <v>1800</v>
      </c>
      <c r="G229">
        <f t="shared" si="3"/>
        <v>78</v>
      </c>
      <c r="H229" s="31">
        <v>140400</v>
      </c>
      <c r="I229"/>
      <c r="J229"/>
      <c r="K229"/>
    </row>
    <row r="230" spans="1:11" ht="15" customHeight="1">
      <c r="A230" s="9">
        <v>135</v>
      </c>
      <c r="B230" s="7" t="s">
        <v>2</v>
      </c>
      <c r="C230" s="41">
        <v>1</v>
      </c>
      <c r="D230" s="1" t="s">
        <v>47</v>
      </c>
      <c r="E230" s="42" t="s">
        <v>72</v>
      </c>
      <c r="F230">
        <v>400</v>
      </c>
      <c r="G230">
        <f t="shared" si="3"/>
        <v>86</v>
      </c>
      <c r="H230" s="31">
        <v>34400</v>
      </c>
      <c r="I230"/>
      <c r="J230"/>
      <c r="K230"/>
    </row>
    <row r="231" spans="1:11" ht="15" customHeight="1">
      <c r="A231" s="9">
        <v>135</v>
      </c>
      <c r="B231" s="7" t="s">
        <v>2</v>
      </c>
      <c r="C231" s="41">
        <v>1</v>
      </c>
      <c r="D231" s="1" t="s">
        <v>47</v>
      </c>
      <c r="E231" s="42" t="s">
        <v>127</v>
      </c>
      <c r="F231">
        <v>30</v>
      </c>
      <c r="G231">
        <f t="shared" si="3"/>
        <v>1500</v>
      </c>
      <c r="H231" s="31">
        <v>45000</v>
      </c>
      <c r="I231"/>
      <c r="J231"/>
      <c r="K231"/>
    </row>
    <row r="232" spans="1:11" ht="15">
      <c r="A232" s="9">
        <v>135</v>
      </c>
      <c r="B232" s="7" t="s">
        <v>2</v>
      </c>
      <c r="C232" s="41">
        <v>1</v>
      </c>
      <c r="D232" s="1" t="s">
        <v>47</v>
      </c>
      <c r="E232" s="42" t="s">
        <v>74</v>
      </c>
      <c r="F232">
        <v>20</v>
      </c>
      <c r="G232">
        <f t="shared" si="3"/>
        <v>1520</v>
      </c>
      <c r="H232" s="31">
        <v>30400</v>
      </c>
      <c r="I232"/>
      <c r="J232"/>
      <c r="K232"/>
    </row>
    <row r="233" spans="1:11" ht="15" customHeight="1">
      <c r="A233" s="9">
        <v>135</v>
      </c>
      <c r="B233" s="7" t="s">
        <v>2</v>
      </c>
      <c r="C233" s="41">
        <v>1</v>
      </c>
      <c r="D233" s="1" t="s">
        <v>47</v>
      </c>
      <c r="E233" s="42" t="s">
        <v>128</v>
      </c>
      <c r="F233">
        <v>200</v>
      </c>
      <c r="G233">
        <f t="shared" si="3"/>
        <v>84</v>
      </c>
      <c r="H233" s="31">
        <v>16800</v>
      </c>
      <c r="I233"/>
      <c r="J233"/>
      <c r="K233"/>
    </row>
    <row r="234" spans="1:11" ht="15" customHeight="1">
      <c r="A234" s="9">
        <v>204</v>
      </c>
      <c r="B234" s="7" t="s">
        <v>2</v>
      </c>
      <c r="C234" s="41">
        <v>1</v>
      </c>
      <c r="D234" s="1" t="s">
        <v>47</v>
      </c>
      <c r="E234" s="42" t="s">
        <v>58</v>
      </c>
      <c r="F234">
        <v>100</v>
      </c>
      <c r="G234">
        <f t="shared" si="3"/>
        <v>32</v>
      </c>
      <c r="H234" s="31">
        <v>3200</v>
      </c>
      <c r="I234"/>
      <c r="J234"/>
      <c r="K234"/>
    </row>
    <row r="235" spans="1:11" ht="15" customHeight="1">
      <c r="A235" s="9">
        <v>205</v>
      </c>
      <c r="B235" s="7" t="s">
        <v>2</v>
      </c>
      <c r="C235" s="41">
        <v>1</v>
      </c>
      <c r="D235" s="1" t="s">
        <v>47</v>
      </c>
      <c r="E235" s="42" t="s">
        <v>52</v>
      </c>
      <c r="F235">
        <v>250</v>
      </c>
      <c r="G235">
        <f t="shared" si="3"/>
        <v>44.6</v>
      </c>
      <c r="H235" s="31">
        <v>11150</v>
      </c>
      <c r="I235"/>
      <c r="J235"/>
      <c r="K235"/>
    </row>
    <row r="236" spans="1:11" ht="15" customHeight="1">
      <c r="A236" s="9">
        <v>206</v>
      </c>
      <c r="B236" s="7" t="s">
        <v>2</v>
      </c>
      <c r="C236" s="41">
        <v>1</v>
      </c>
      <c r="D236" s="1" t="s">
        <v>47</v>
      </c>
      <c r="E236" s="42" t="s">
        <v>64</v>
      </c>
      <c r="F236">
        <v>17</v>
      </c>
      <c r="G236">
        <f t="shared" si="3"/>
        <v>185.29411764705881</v>
      </c>
      <c r="H236" s="31">
        <v>3150</v>
      </c>
      <c r="I236"/>
      <c r="J236"/>
      <c r="K236"/>
    </row>
    <row r="237" spans="1:11" ht="15" customHeight="1">
      <c r="A237" s="9">
        <v>207</v>
      </c>
      <c r="B237" s="7" t="s">
        <v>2</v>
      </c>
      <c r="C237" s="41">
        <v>1</v>
      </c>
      <c r="D237" s="1" t="s">
        <v>47</v>
      </c>
      <c r="E237" s="42" t="s">
        <v>75</v>
      </c>
      <c r="F237">
        <v>100</v>
      </c>
      <c r="G237">
        <f t="shared" si="3"/>
        <v>140.80000000000001</v>
      </c>
      <c r="H237" s="31">
        <v>14080</v>
      </c>
      <c r="I237"/>
      <c r="J237"/>
      <c r="K237"/>
    </row>
    <row r="238" spans="1:11" ht="15" customHeight="1">
      <c r="A238" s="9">
        <v>208</v>
      </c>
      <c r="B238" s="7" t="s">
        <v>2</v>
      </c>
      <c r="C238" s="41">
        <v>1</v>
      </c>
      <c r="D238" s="1" t="s">
        <v>47</v>
      </c>
      <c r="E238" s="42" t="s">
        <v>49</v>
      </c>
      <c r="F238">
        <v>200</v>
      </c>
      <c r="G238">
        <f t="shared" si="3"/>
        <v>196.5</v>
      </c>
      <c r="H238" s="31">
        <v>39300</v>
      </c>
      <c r="I238"/>
      <c r="J238"/>
      <c r="K238"/>
    </row>
    <row r="239" spans="1:11" ht="15" customHeight="1">
      <c r="A239" s="9">
        <v>209</v>
      </c>
      <c r="B239" s="7" t="s">
        <v>2</v>
      </c>
      <c r="C239" s="41">
        <v>1</v>
      </c>
      <c r="D239" s="1" t="s">
        <v>47</v>
      </c>
      <c r="E239" s="42" t="s">
        <v>129</v>
      </c>
      <c r="F239">
        <v>1</v>
      </c>
      <c r="G239">
        <f t="shared" si="3"/>
        <v>4500</v>
      </c>
      <c r="H239" s="31">
        <v>4500</v>
      </c>
      <c r="I239"/>
      <c r="J239"/>
      <c r="K239"/>
    </row>
    <row r="240" spans="1:11" ht="15" customHeight="1">
      <c r="A240" s="9">
        <v>210</v>
      </c>
      <c r="B240" s="7" t="s">
        <v>2</v>
      </c>
      <c r="C240" s="41">
        <v>1</v>
      </c>
      <c r="D240" s="1" t="s">
        <v>47</v>
      </c>
      <c r="E240" s="42" t="s">
        <v>69</v>
      </c>
      <c r="F240">
        <v>1</v>
      </c>
      <c r="G240">
        <f t="shared" si="3"/>
        <v>500</v>
      </c>
      <c r="H240" s="31">
        <v>500</v>
      </c>
      <c r="I240"/>
      <c r="J240"/>
      <c r="K240"/>
    </row>
    <row r="241" spans="1:11" ht="15" customHeight="1">
      <c r="A241" s="9">
        <v>211</v>
      </c>
      <c r="B241" s="7" t="s">
        <v>2</v>
      </c>
      <c r="C241" s="41">
        <v>1</v>
      </c>
      <c r="D241" s="1" t="s">
        <v>47</v>
      </c>
      <c r="E241" s="42" t="s">
        <v>98</v>
      </c>
      <c r="F241">
        <v>120</v>
      </c>
      <c r="G241">
        <f t="shared" si="3"/>
        <v>108.33333333333333</v>
      </c>
      <c r="H241" s="31">
        <v>13000</v>
      </c>
      <c r="I241" s="7" t="s">
        <v>32</v>
      </c>
      <c r="J241">
        <v>209</v>
      </c>
      <c r="K241"/>
    </row>
    <row r="242" spans="1:11" ht="15" customHeight="1">
      <c r="A242" s="9">
        <v>212</v>
      </c>
      <c r="B242" s="7" t="s">
        <v>2</v>
      </c>
      <c r="C242" s="41">
        <v>1</v>
      </c>
      <c r="D242" s="1" t="s">
        <v>47</v>
      </c>
      <c r="E242" s="42" t="s">
        <v>53</v>
      </c>
      <c r="F242">
        <v>260</v>
      </c>
      <c r="G242">
        <f t="shared" si="3"/>
        <v>17.307692307692307</v>
      </c>
      <c r="H242" s="31">
        <v>4500</v>
      </c>
      <c r="I242" t="s">
        <v>28</v>
      </c>
      <c r="J242">
        <v>211</v>
      </c>
      <c r="K242"/>
    </row>
    <row r="243" spans="1:11" ht="15" customHeight="1">
      <c r="A243" s="9">
        <v>213</v>
      </c>
      <c r="B243" s="7" t="s">
        <v>2</v>
      </c>
      <c r="C243" s="41">
        <v>1</v>
      </c>
      <c r="D243" s="1" t="s">
        <v>47</v>
      </c>
      <c r="E243" s="42" t="s">
        <v>68</v>
      </c>
      <c r="F243">
        <v>60</v>
      </c>
      <c r="G243">
        <f t="shared" si="3"/>
        <v>45</v>
      </c>
      <c r="H243" s="31">
        <v>2700</v>
      </c>
      <c r="I243" t="s">
        <v>28</v>
      </c>
      <c r="J243">
        <v>211</v>
      </c>
      <c r="K243"/>
    </row>
    <row r="244" spans="1:11" ht="15" customHeight="1">
      <c r="A244" s="9">
        <v>214</v>
      </c>
      <c r="B244" s="7" t="s">
        <v>2</v>
      </c>
      <c r="C244" s="41">
        <v>1</v>
      </c>
      <c r="D244" s="1" t="s">
        <v>47</v>
      </c>
      <c r="E244" s="42" t="s">
        <v>108</v>
      </c>
      <c r="F244">
        <v>20</v>
      </c>
      <c r="G244">
        <f t="shared" si="3"/>
        <v>50</v>
      </c>
      <c r="H244" s="31">
        <v>1000</v>
      </c>
      <c r="I244" t="s">
        <v>28</v>
      </c>
      <c r="J244">
        <v>211</v>
      </c>
      <c r="K244"/>
    </row>
    <row r="245" spans="1:11" ht="15" customHeight="1">
      <c r="A245" s="9">
        <v>215</v>
      </c>
      <c r="B245" s="7" t="s">
        <v>2</v>
      </c>
      <c r="C245" s="41">
        <v>1</v>
      </c>
      <c r="D245" s="1" t="s">
        <v>47</v>
      </c>
      <c r="E245" s="42" t="s">
        <v>72</v>
      </c>
      <c r="F245">
        <v>50</v>
      </c>
      <c r="G245">
        <f t="shared" si="3"/>
        <v>88</v>
      </c>
      <c r="H245" s="31">
        <v>4400</v>
      </c>
      <c r="I245" t="s">
        <v>28</v>
      </c>
      <c r="J245">
        <v>211</v>
      </c>
      <c r="K245"/>
    </row>
    <row r="246" spans="1:11" ht="15" customHeight="1">
      <c r="A246" s="9">
        <v>216</v>
      </c>
      <c r="B246" s="7" t="s">
        <v>2</v>
      </c>
      <c r="C246" s="41">
        <v>1</v>
      </c>
      <c r="D246" s="1" t="s">
        <v>47</v>
      </c>
      <c r="E246" s="42" t="s">
        <v>108</v>
      </c>
      <c r="F246">
        <v>10</v>
      </c>
      <c r="G246">
        <f t="shared" si="3"/>
        <v>50</v>
      </c>
      <c r="H246" s="31">
        <v>500</v>
      </c>
      <c r="I246" t="s">
        <v>28</v>
      </c>
      <c r="J246">
        <v>211</v>
      </c>
      <c r="K246"/>
    </row>
    <row r="247" spans="1:11" ht="15" customHeight="1">
      <c r="A247" s="9">
        <v>217</v>
      </c>
      <c r="B247" s="7" t="s">
        <v>2</v>
      </c>
      <c r="C247" s="41">
        <v>1</v>
      </c>
      <c r="D247" s="1" t="s">
        <v>47</v>
      </c>
      <c r="E247" s="42" t="s">
        <v>50</v>
      </c>
      <c r="F247">
        <v>1</v>
      </c>
      <c r="G247">
        <f t="shared" si="3"/>
        <v>500</v>
      </c>
      <c r="H247" s="31">
        <v>500</v>
      </c>
      <c r="I247" t="s">
        <v>28</v>
      </c>
      <c r="J247">
        <v>211</v>
      </c>
      <c r="K247"/>
    </row>
    <row r="248" spans="1:11" ht="15" customHeight="1">
      <c r="A248" s="9">
        <v>218</v>
      </c>
      <c r="B248" s="7" t="s">
        <v>2</v>
      </c>
      <c r="C248" s="41">
        <v>2</v>
      </c>
      <c r="D248" s="1" t="s">
        <v>47</v>
      </c>
      <c r="E248" s="42" t="s">
        <v>68</v>
      </c>
      <c r="F248">
        <v>100</v>
      </c>
      <c r="G248">
        <f t="shared" si="3"/>
        <v>45</v>
      </c>
      <c r="H248" s="31">
        <v>4500</v>
      </c>
      <c r="I248" t="s">
        <v>28</v>
      </c>
      <c r="J248">
        <v>212</v>
      </c>
      <c r="K248"/>
    </row>
    <row r="249" spans="1:11" ht="15" customHeight="1">
      <c r="A249" s="9">
        <v>219</v>
      </c>
      <c r="B249" s="7" t="s">
        <v>2</v>
      </c>
      <c r="C249" s="41">
        <v>2</v>
      </c>
      <c r="D249" s="1" t="s">
        <v>47</v>
      </c>
      <c r="E249" s="42" t="s">
        <v>56</v>
      </c>
      <c r="F249">
        <v>60</v>
      </c>
      <c r="G249">
        <f t="shared" si="3"/>
        <v>38</v>
      </c>
      <c r="H249" s="31">
        <v>2280</v>
      </c>
      <c r="I249" t="s">
        <v>28</v>
      </c>
      <c r="J249">
        <v>212</v>
      </c>
      <c r="K249"/>
    </row>
    <row r="250" spans="1:11" ht="15" customHeight="1">
      <c r="A250" s="9">
        <v>220</v>
      </c>
      <c r="B250" s="7" t="s">
        <v>2</v>
      </c>
      <c r="C250" s="41">
        <v>2</v>
      </c>
      <c r="D250" s="1" t="s">
        <v>47</v>
      </c>
      <c r="E250" s="42" t="s">
        <v>108</v>
      </c>
      <c r="F250">
        <v>20</v>
      </c>
      <c r="G250">
        <f t="shared" si="3"/>
        <v>45</v>
      </c>
      <c r="H250" s="31">
        <v>900</v>
      </c>
      <c r="I250" t="s">
        <v>28</v>
      </c>
      <c r="J250">
        <v>212</v>
      </c>
      <c r="K250"/>
    </row>
    <row r="251" spans="1:11" ht="15" customHeight="1">
      <c r="A251" s="9">
        <v>221</v>
      </c>
      <c r="B251" s="7" t="s">
        <v>2</v>
      </c>
      <c r="C251" s="41">
        <v>2</v>
      </c>
      <c r="D251" s="1" t="s">
        <v>47</v>
      </c>
      <c r="E251" s="42" t="s">
        <v>50</v>
      </c>
      <c r="F251">
        <v>1</v>
      </c>
      <c r="G251">
        <v>400</v>
      </c>
      <c r="H251" s="31">
        <v>400</v>
      </c>
      <c r="I251" t="s">
        <v>28</v>
      </c>
      <c r="J251">
        <v>212</v>
      </c>
      <c r="K251"/>
    </row>
    <row r="252" spans="1:11" ht="15" customHeight="1">
      <c r="A252" s="9">
        <v>222</v>
      </c>
      <c r="B252" s="7" t="s">
        <v>2</v>
      </c>
      <c r="C252" s="41">
        <v>3</v>
      </c>
      <c r="D252" s="1" t="s">
        <v>47</v>
      </c>
      <c r="E252" s="42" t="s">
        <v>65</v>
      </c>
      <c r="F252">
        <v>63.5</v>
      </c>
      <c r="G252">
        <f t="shared" si="3"/>
        <v>300</v>
      </c>
      <c r="H252" s="31">
        <v>19050</v>
      </c>
      <c r="I252" t="s">
        <v>28</v>
      </c>
      <c r="J252">
        <v>213</v>
      </c>
      <c r="K252"/>
    </row>
    <row r="253" spans="1:11" ht="16.899999999999999" customHeight="1">
      <c r="A253" s="9">
        <v>223</v>
      </c>
      <c r="B253" s="7" t="s">
        <v>2</v>
      </c>
      <c r="C253" s="41">
        <v>3</v>
      </c>
      <c r="D253" s="1" t="s">
        <v>47</v>
      </c>
      <c r="E253" s="42" t="s">
        <v>68</v>
      </c>
      <c r="F253">
        <v>36</v>
      </c>
      <c r="G253">
        <f t="shared" si="3"/>
        <v>44.444444444444443</v>
      </c>
      <c r="H253" s="31">
        <v>1600</v>
      </c>
      <c r="I253" t="s">
        <v>28</v>
      </c>
      <c r="J253">
        <v>213</v>
      </c>
      <c r="K253"/>
    </row>
    <row r="254" spans="1:11" ht="16.899999999999999" customHeight="1">
      <c r="A254" s="9">
        <v>224</v>
      </c>
      <c r="B254" s="7" t="s">
        <v>2</v>
      </c>
      <c r="C254" s="41">
        <v>3</v>
      </c>
      <c r="D254" s="1" t="s">
        <v>47</v>
      </c>
      <c r="E254" s="42" t="s">
        <v>108</v>
      </c>
      <c r="F254">
        <v>10</v>
      </c>
      <c r="G254">
        <f t="shared" si="3"/>
        <v>50</v>
      </c>
      <c r="H254" s="31">
        <v>500</v>
      </c>
      <c r="I254" t="s">
        <v>28</v>
      </c>
      <c r="J254">
        <v>213</v>
      </c>
      <c r="K254"/>
    </row>
    <row r="255" spans="1:11" ht="18" customHeight="1">
      <c r="A255" s="9">
        <v>225</v>
      </c>
      <c r="B255" s="7" t="s">
        <v>2</v>
      </c>
      <c r="C255" s="41">
        <v>3</v>
      </c>
      <c r="D255" s="1" t="s">
        <v>47</v>
      </c>
      <c r="E255" s="42" t="s">
        <v>130</v>
      </c>
      <c r="F255">
        <v>7</v>
      </c>
      <c r="G255">
        <f t="shared" si="3"/>
        <v>90</v>
      </c>
      <c r="H255" s="31">
        <v>630</v>
      </c>
      <c r="I255" t="s">
        <v>28</v>
      </c>
      <c r="J255">
        <v>213</v>
      </c>
      <c r="K255"/>
    </row>
    <row r="256" spans="1:11" ht="18" customHeight="1">
      <c r="A256" s="9">
        <v>226</v>
      </c>
      <c r="B256" s="7" t="s">
        <v>2</v>
      </c>
      <c r="C256" s="41">
        <v>3</v>
      </c>
      <c r="D256" s="1" t="s">
        <v>47</v>
      </c>
      <c r="E256" s="42" t="s">
        <v>108</v>
      </c>
      <c r="F256">
        <v>6</v>
      </c>
      <c r="G256">
        <f t="shared" si="3"/>
        <v>50</v>
      </c>
      <c r="H256" s="31">
        <v>300</v>
      </c>
      <c r="I256" t="s">
        <v>28</v>
      </c>
      <c r="J256">
        <v>213</v>
      </c>
      <c r="K256"/>
    </row>
    <row r="257" spans="1:11" ht="14.45" customHeight="1">
      <c r="A257" s="9">
        <v>227</v>
      </c>
      <c r="B257" s="7" t="s">
        <v>2</v>
      </c>
      <c r="C257" s="41">
        <v>3</v>
      </c>
      <c r="D257" s="1" t="s">
        <v>47</v>
      </c>
      <c r="E257" s="42" t="s">
        <v>50</v>
      </c>
      <c r="F257">
        <v>1</v>
      </c>
      <c r="G257">
        <f t="shared" si="3"/>
        <v>600</v>
      </c>
      <c r="H257" s="31">
        <v>600</v>
      </c>
      <c r="I257" t="s">
        <v>28</v>
      </c>
      <c r="J257">
        <v>213</v>
      </c>
      <c r="K257"/>
    </row>
    <row r="258" spans="1:11" ht="19.149999999999999" customHeight="1">
      <c r="A258" s="9">
        <v>228</v>
      </c>
      <c r="B258" s="7" t="s">
        <v>2</v>
      </c>
      <c r="C258" s="41">
        <v>4</v>
      </c>
      <c r="D258" s="1" t="s">
        <v>47</v>
      </c>
      <c r="E258" s="42" t="s">
        <v>130</v>
      </c>
      <c r="F258">
        <v>1</v>
      </c>
      <c r="G258">
        <f t="shared" si="3"/>
        <v>90</v>
      </c>
      <c r="H258" s="31">
        <v>90</v>
      </c>
      <c r="I258" t="s">
        <v>28</v>
      </c>
      <c r="J258">
        <v>214</v>
      </c>
      <c r="K258"/>
    </row>
    <row r="259" spans="1:11" ht="19.149999999999999" customHeight="1">
      <c r="A259" s="9">
        <v>229</v>
      </c>
      <c r="B259" s="7" t="s">
        <v>2</v>
      </c>
      <c r="C259" s="41">
        <v>4</v>
      </c>
      <c r="D259" s="1" t="s">
        <v>47</v>
      </c>
      <c r="E259" s="42" t="s">
        <v>108</v>
      </c>
      <c r="F259">
        <v>1</v>
      </c>
      <c r="G259">
        <f t="shared" si="3"/>
        <v>50</v>
      </c>
      <c r="H259" s="31">
        <v>50</v>
      </c>
      <c r="I259" t="s">
        <v>28</v>
      </c>
      <c r="J259">
        <v>214</v>
      </c>
      <c r="K259"/>
    </row>
    <row r="260" spans="1:11" ht="19.149999999999999" customHeight="1">
      <c r="A260" s="9">
        <v>230</v>
      </c>
      <c r="B260" s="7" t="s">
        <v>2</v>
      </c>
      <c r="C260" s="41">
        <v>4</v>
      </c>
      <c r="D260" s="1" t="s">
        <v>47</v>
      </c>
      <c r="E260" s="42" t="s">
        <v>50</v>
      </c>
      <c r="F260">
        <v>1</v>
      </c>
      <c r="G260">
        <f t="shared" si="3"/>
        <v>100</v>
      </c>
      <c r="H260" s="31">
        <v>100</v>
      </c>
      <c r="I260" t="s">
        <v>28</v>
      </c>
      <c r="J260">
        <v>214</v>
      </c>
      <c r="K260"/>
    </row>
    <row r="261" spans="1:11" ht="19.149999999999999" customHeight="1">
      <c r="A261" s="9">
        <v>231</v>
      </c>
      <c r="B261" s="7" t="s">
        <v>2</v>
      </c>
      <c r="C261" s="41">
        <v>5</v>
      </c>
      <c r="D261" s="1" t="s">
        <v>47</v>
      </c>
      <c r="E261" s="42" t="s">
        <v>57</v>
      </c>
      <c r="F261">
        <v>77.5</v>
      </c>
      <c r="G261">
        <f t="shared" si="3"/>
        <v>189.67741935483872</v>
      </c>
      <c r="H261" s="31">
        <v>14700</v>
      </c>
      <c r="I261" t="s">
        <v>28</v>
      </c>
      <c r="J261">
        <v>215</v>
      </c>
      <c r="K261"/>
    </row>
    <row r="262" spans="1:11" ht="19.149999999999999" customHeight="1">
      <c r="A262" s="9">
        <v>232</v>
      </c>
      <c r="B262" s="7" t="s">
        <v>2</v>
      </c>
      <c r="C262" s="41">
        <v>5</v>
      </c>
      <c r="D262" s="1" t="s">
        <v>47</v>
      </c>
      <c r="E262" s="42" t="s">
        <v>56</v>
      </c>
      <c r="F262">
        <v>100</v>
      </c>
      <c r="G262">
        <f t="shared" si="3"/>
        <v>30</v>
      </c>
      <c r="H262" s="31">
        <v>3000</v>
      </c>
      <c r="I262" t="s">
        <v>28</v>
      </c>
      <c r="J262">
        <v>215</v>
      </c>
      <c r="K262"/>
    </row>
    <row r="263" spans="1:11" ht="19.149999999999999" customHeight="1">
      <c r="A263" s="9">
        <v>233</v>
      </c>
      <c r="B263" s="7" t="s">
        <v>2</v>
      </c>
      <c r="C263" s="41">
        <v>5</v>
      </c>
      <c r="D263" s="1" t="s">
        <v>47</v>
      </c>
      <c r="E263" s="42" t="s">
        <v>108</v>
      </c>
      <c r="F263">
        <v>26</v>
      </c>
      <c r="G263">
        <f t="shared" si="3"/>
        <v>45</v>
      </c>
      <c r="H263" s="31">
        <v>1170</v>
      </c>
      <c r="I263" t="s">
        <v>28</v>
      </c>
      <c r="J263">
        <v>215</v>
      </c>
      <c r="K263"/>
    </row>
    <row r="264" spans="1:11" ht="19.149999999999999" customHeight="1">
      <c r="A264" s="9">
        <v>234</v>
      </c>
      <c r="B264" s="7" t="s">
        <v>2</v>
      </c>
      <c r="C264" s="41">
        <v>5</v>
      </c>
      <c r="D264" s="1" t="s">
        <v>47</v>
      </c>
      <c r="E264" s="42" t="s">
        <v>86</v>
      </c>
      <c r="F264">
        <v>10</v>
      </c>
      <c r="G264">
        <f t="shared" si="3"/>
        <v>110</v>
      </c>
      <c r="H264" s="31">
        <v>1100</v>
      </c>
      <c r="I264" t="s">
        <v>28</v>
      </c>
      <c r="J264">
        <v>215</v>
      </c>
      <c r="K264"/>
    </row>
    <row r="265" spans="1:11" ht="19.149999999999999" customHeight="1">
      <c r="A265" s="9">
        <v>235</v>
      </c>
      <c r="B265" s="7" t="s">
        <v>2</v>
      </c>
      <c r="C265" s="41">
        <v>5</v>
      </c>
      <c r="D265" s="1" t="s">
        <v>47</v>
      </c>
      <c r="E265" s="42" t="s">
        <v>130</v>
      </c>
      <c r="F265">
        <v>10</v>
      </c>
      <c r="G265">
        <f t="shared" si="3"/>
        <v>50</v>
      </c>
      <c r="H265" s="31">
        <v>500</v>
      </c>
      <c r="I265" t="s">
        <v>28</v>
      </c>
      <c r="J265">
        <v>215</v>
      </c>
      <c r="K265"/>
    </row>
    <row r="266" spans="1:11" ht="19.149999999999999" customHeight="1">
      <c r="A266" s="9">
        <v>236</v>
      </c>
      <c r="B266" s="7" t="s">
        <v>2</v>
      </c>
      <c r="C266" s="41">
        <v>5</v>
      </c>
      <c r="D266" s="1" t="s">
        <v>45</v>
      </c>
      <c r="E266" s="42" t="s">
        <v>65</v>
      </c>
      <c r="F266">
        <v>10.5</v>
      </c>
      <c r="G266">
        <f t="shared" si="3"/>
        <v>300</v>
      </c>
      <c r="H266" s="31">
        <v>3150</v>
      </c>
      <c r="I266" t="s">
        <v>28</v>
      </c>
      <c r="J266">
        <v>215</v>
      </c>
      <c r="K266"/>
    </row>
    <row r="267" spans="1:11" ht="19.149999999999999" customHeight="1">
      <c r="A267" s="9">
        <v>237</v>
      </c>
      <c r="B267" s="7" t="s">
        <v>2</v>
      </c>
      <c r="C267" s="41">
        <v>5</v>
      </c>
      <c r="D267" s="1" t="s">
        <v>45</v>
      </c>
      <c r="E267" s="42" t="s">
        <v>50</v>
      </c>
      <c r="F267">
        <v>1</v>
      </c>
      <c r="G267">
        <f t="shared" si="3"/>
        <v>800</v>
      </c>
      <c r="H267" s="31">
        <v>800</v>
      </c>
      <c r="I267" t="s">
        <v>28</v>
      </c>
      <c r="J267">
        <v>215</v>
      </c>
      <c r="K267"/>
    </row>
    <row r="268" spans="1:11" ht="19.149999999999999" customHeight="1">
      <c r="A268" s="9">
        <v>238</v>
      </c>
      <c r="B268" s="7" t="s">
        <v>2</v>
      </c>
      <c r="C268" s="41">
        <v>6</v>
      </c>
      <c r="D268" s="1" t="s">
        <v>45</v>
      </c>
      <c r="E268" s="42" t="s">
        <v>68</v>
      </c>
      <c r="F268">
        <v>151</v>
      </c>
      <c r="G268">
        <f t="shared" si="3"/>
        <v>50</v>
      </c>
      <c r="H268" s="31">
        <v>7550</v>
      </c>
      <c r="I268" t="s">
        <v>93</v>
      </c>
      <c r="J268"/>
      <c r="K268"/>
    </row>
    <row r="269" spans="1:11" ht="19.149999999999999" customHeight="1">
      <c r="A269" s="9">
        <v>238</v>
      </c>
      <c r="B269" s="7" t="s">
        <v>2</v>
      </c>
      <c r="C269" s="41">
        <v>6</v>
      </c>
      <c r="D269" s="1" t="s">
        <v>45</v>
      </c>
      <c r="E269" s="42" t="s">
        <v>32</v>
      </c>
      <c r="F269">
        <v>400</v>
      </c>
      <c r="G269">
        <f t="shared" si="3"/>
        <v>11</v>
      </c>
      <c r="H269" s="31">
        <v>4400</v>
      </c>
      <c r="I269" t="s">
        <v>28</v>
      </c>
      <c r="J269">
        <v>216</v>
      </c>
      <c r="K269"/>
    </row>
    <row r="270" spans="1:11" ht="18" customHeight="1">
      <c r="A270" s="9">
        <v>239</v>
      </c>
      <c r="B270" s="7" t="s">
        <v>2</v>
      </c>
      <c r="C270" s="41">
        <v>6</v>
      </c>
      <c r="D270" s="1" t="s">
        <v>45</v>
      </c>
      <c r="E270" s="42" t="s">
        <v>63</v>
      </c>
      <c r="F270">
        <v>1</v>
      </c>
      <c r="G270">
        <f t="shared" ref="G270:G333" si="5">H270/F270</f>
        <v>1700</v>
      </c>
      <c r="H270" s="31">
        <v>1700</v>
      </c>
      <c r="I270" t="s">
        <v>28</v>
      </c>
      <c r="J270">
        <v>216</v>
      </c>
      <c r="K270"/>
    </row>
    <row r="271" spans="1:11" ht="16.899999999999999" customHeight="1">
      <c r="A271" s="9">
        <v>240</v>
      </c>
      <c r="B271" s="7" t="s">
        <v>2</v>
      </c>
      <c r="C271" s="41">
        <v>6</v>
      </c>
      <c r="D271" s="1" t="s">
        <v>45</v>
      </c>
      <c r="E271" s="42" t="s">
        <v>50</v>
      </c>
      <c r="F271">
        <v>1</v>
      </c>
      <c r="G271">
        <f t="shared" si="5"/>
        <v>200</v>
      </c>
      <c r="H271" s="31">
        <v>200</v>
      </c>
      <c r="I271" t="s">
        <v>28</v>
      </c>
      <c r="J271">
        <v>216</v>
      </c>
      <c r="K271"/>
    </row>
    <row r="272" spans="1:11" ht="16.899999999999999" customHeight="1">
      <c r="A272" s="9">
        <v>241</v>
      </c>
      <c r="B272" s="7" t="s">
        <v>2</v>
      </c>
      <c r="C272" s="41">
        <v>6</v>
      </c>
      <c r="D272" s="1" t="s">
        <v>45</v>
      </c>
      <c r="E272" s="42" t="s">
        <v>33</v>
      </c>
      <c r="F272">
        <v>150</v>
      </c>
      <c r="G272">
        <f t="shared" si="5"/>
        <v>166.66666666666666</v>
      </c>
      <c r="H272" s="31">
        <v>25000</v>
      </c>
      <c r="I272" s="7" t="s">
        <v>33</v>
      </c>
      <c r="J272"/>
      <c r="K272"/>
    </row>
    <row r="273" spans="1:11" ht="15" customHeight="1">
      <c r="A273" s="9">
        <v>242</v>
      </c>
      <c r="B273" s="7" t="s">
        <v>2</v>
      </c>
      <c r="C273" s="41">
        <v>6</v>
      </c>
      <c r="D273" s="1" t="s">
        <v>45</v>
      </c>
      <c r="E273" s="42" t="s">
        <v>60</v>
      </c>
      <c r="F273">
        <v>6</v>
      </c>
      <c r="G273">
        <f>H273/F273</f>
        <v>1186.6666666666667</v>
      </c>
      <c r="H273">
        <v>7120</v>
      </c>
      <c r="I273" s="64" t="s">
        <v>38</v>
      </c>
      <c r="J273"/>
      <c r="K273"/>
    </row>
    <row r="274" spans="1:11" ht="15" customHeight="1">
      <c r="A274" s="9">
        <v>243</v>
      </c>
      <c r="B274" s="7" t="s">
        <v>2</v>
      </c>
      <c r="C274" s="41">
        <v>7</v>
      </c>
      <c r="D274" s="1" t="s">
        <v>45</v>
      </c>
      <c r="E274" s="42" t="s">
        <v>53</v>
      </c>
      <c r="F274" s="52">
        <v>260</v>
      </c>
      <c r="G274" s="47">
        <f t="shared" si="5"/>
        <v>16.153846153846153</v>
      </c>
      <c r="H274" s="48">
        <v>4200</v>
      </c>
      <c r="I274" s="57" t="s">
        <v>28</v>
      </c>
      <c r="J274"/>
      <c r="K274"/>
    </row>
    <row r="275" spans="1:11" ht="15" customHeight="1">
      <c r="A275" s="9">
        <v>244</v>
      </c>
      <c r="B275" s="7" t="s">
        <v>2</v>
      </c>
      <c r="C275" s="41">
        <v>7</v>
      </c>
      <c r="D275" s="1" t="s">
        <v>45</v>
      </c>
      <c r="E275" s="42" t="s">
        <v>131</v>
      </c>
      <c r="F275">
        <v>1</v>
      </c>
      <c r="G275">
        <f t="shared" si="5"/>
        <v>200</v>
      </c>
      <c r="H275" s="31">
        <v>200</v>
      </c>
      <c r="I275" s="57" t="s">
        <v>28</v>
      </c>
      <c r="J275"/>
      <c r="K275"/>
    </row>
    <row r="276" spans="1:11" ht="15" customHeight="1">
      <c r="A276" s="9">
        <v>245</v>
      </c>
      <c r="B276" s="7" t="s">
        <v>2</v>
      </c>
      <c r="C276" s="41">
        <v>7</v>
      </c>
      <c r="D276" s="1" t="s">
        <v>45</v>
      </c>
      <c r="E276" s="42" t="s">
        <v>50</v>
      </c>
      <c r="F276">
        <v>1</v>
      </c>
      <c r="G276">
        <f t="shared" si="5"/>
        <v>300</v>
      </c>
      <c r="H276" s="31">
        <v>300</v>
      </c>
      <c r="I276" s="57" t="s">
        <v>28</v>
      </c>
      <c r="J276"/>
    </row>
    <row r="277" spans="1:11" ht="15" customHeight="1">
      <c r="A277" s="9">
        <v>246</v>
      </c>
      <c r="B277" s="7" t="s">
        <v>2</v>
      </c>
      <c r="C277" s="41">
        <v>7</v>
      </c>
      <c r="D277" s="1" t="s">
        <v>45</v>
      </c>
      <c r="E277" s="42" t="s">
        <v>65</v>
      </c>
      <c r="F277">
        <v>75.5</v>
      </c>
      <c r="G277">
        <f t="shared" si="5"/>
        <v>319.20529801324506</v>
      </c>
      <c r="H277" s="31">
        <v>24100</v>
      </c>
      <c r="I277" s="57" t="s">
        <v>28</v>
      </c>
      <c r="J277"/>
      <c r="K277"/>
    </row>
    <row r="278" spans="1:11" ht="16.899999999999999" customHeight="1">
      <c r="A278" s="9">
        <v>247</v>
      </c>
      <c r="B278" s="7" t="s">
        <v>2</v>
      </c>
      <c r="C278" s="41">
        <v>8</v>
      </c>
      <c r="D278" s="1" t="s">
        <v>45</v>
      </c>
      <c r="E278" s="42" t="s">
        <v>56</v>
      </c>
      <c r="F278">
        <v>1</v>
      </c>
      <c r="G278">
        <f t="shared" si="5"/>
        <v>800</v>
      </c>
      <c r="H278" s="31">
        <v>800</v>
      </c>
      <c r="I278" s="57" t="s">
        <v>28</v>
      </c>
      <c r="J278"/>
      <c r="K278"/>
    </row>
    <row r="279" spans="1:11" ht="16.899999999999999" customHeight="1">
      <c r="A279" s="9">
        <v>248</v>
      </c>
      <c r="B279" s="7" t="s">
        <v>2</v>
      </c>
      <c r="C279" s="41">
        <v>8</v>
      </c>
      <c r="D279" s="1" t="s">
        <v>45</v>
      </c>
      <c r="E279" s="42" t="s">
        <v>108</v>
      </c>
      <c r="F279">
        <v>1</v>
      </c>
      <c r="G279">
        <f t="shared" si="5"/>
        <v>1200</v>
      </c>
      <c r="H279" s="31">
        <v>1200</v>
      </c>
      <c r="I279" s="57" t="s">
        <v>28</v>
      </c>
      <c r="J279"/>
      <c r="K279"/>
    </row>
    <row r="280" spans="1:11" ht="15" customHeight="1">
      <c r="A280" s="9">
        <v>249</v>
      </c>
      <c r="B280" s="7" t="s">
        <v>2</v>
      </c>
      <c r="C280" s="41">
        <v>8</v>
      </c>
      <c r="D280" s="1" t="s">
        <v>45</v>
      </c>
      <c r="E280" s="42" t="s">
        <v>131</v>
      </c>
      <c r="F280">
        <v>1</v>
      </c>
      <c r="G280">
        <f t="shared" si="5"/>
        <v>200</v>
      </c>
      <c r="H280" s="31">
        <v>200</v>
      </c>
      <c r="I280" s="57" t="s">
        <v>28</v>
      </c>
      <c r="J280"/>
      <c r="K280" t="s">
        <v>124</v>
      </c>
    </row>
    <row r="281" spans="1:11" ht="16.899999999999999" customHeight="1">
      <c r="A281" s="9">
        <v>250</v>
      </c>
      <c r="B281" s="7" t="s">
        <v>2</v>
      </c>
      <c r="C281" s="41">
        <v>8</v>
      </c>
      <c r="D281" s="1" t="s">
        <v>45</v>
      </c>
      <c r="E281" s="42" t="s">
        <v>50</v>
      </c>
      <c r="F281">
        <v>1</v>
      </c>
      <c r="G281">
        <f t="shared" si="5"/>
        <v>450</v>
      </c>
      <c r="H281" s="31">
        <v>450</v>
      </c>
      <c r="I281" s="57" t="s">
        <v>28</v>
      </c>
      <c r="J281"/>
      <c r="K281"/>
    </row>
    <row r="282" spans="1:11" ht="15" customHeight="1">
      <c r="A282" s="9">
        <v>251</v>
      </c>
      <c r="B282" s="7" t="s">
        <v>2</v>
      </c>
      <c r="C282" s="41">
        <v>9</v>
      </c>
      <c r="D282" s="1" t="s">
        <v>45</v>
      </c>
      <c r="E282" s="42" t="s">
        <v>98</v>
      </c>
      <c r="F282">
        <v>120</v>
      </c>
      <c r="G282">
        <f>H282/F282</f>
        <v>108.33333333333333</v>
      </c>
      <c r="H282" s="31">
        <v>13000</v>
      </c>
      <c r="I282" s="7" t="s">
        <v>32</v>
      </c>
      <c r="J282"/>
      <c r="K282"/>
    </row>
    <row r="283" spans="1:11" ht="15" customHeight="1">
      <c r="A283" s="9">
        <v>252</v>
      </c>
      <c r="B283" s="7" t="s">
        <v>2</v>
      </c>
      <c r="C283" s="41">
        <v>9</v>
      </c>
      <c r="D283" s="1" t="s">
        <v>45</v>
      </c>
      <c r="E283" s="42" t="s">
        <v>68</v>
      </c>
      <c r="F283">
        <v>50</v>
      </c>
      <c r="G283">
        <f>H283/F283</f>
        <v>60</v>
      </c>
      <c r="H283" s="31">
        <v>3000</v>
      </c>
      <c r="I283" s="35" t="s">
        <v>93</v>
      </c>
      <c r="J283"/>
      <c r="K283"/>
    </row>
    <row r="284" spans="1:11" ht="16.899999999999999" customHeight="1">
      <c r="A284" s="9">
        <v>253</v>
      </c>
      <c r="B284" s="7" t="s">
        <v>2</v>
      </c>
      <c r="C284" s="41">
        <v>9</v>
      </c>
      <c r="D284" s="1" t="s">
        <v>45</v>
      </c>
      <c r="E284" s="42" t="s">
        <v>57</v>
      </c>
      <c r="F284">
        <v>77.3</v>
      </c>
      <c r="G284">
        <f t="shared" si="5"/>
        <v>210.8667529107374</v>
      </c>
      <c r="H284" s="31">
        <v>16300</v>
      </c>
      <c r="I284" s="57" t="s">
        <v>28</v>
      </c>
      <c r="J284"/>
      <c r="K284"/>
    </row>
    <row r="285" spans="1:11" ht="16.899999999999999" customHeight="1">
      <c r="A285" s="9">
        <v>254</v>
      </c>
      <c r="B285" s="7" t="s">
        <v>2</v>
      </c>
      <c r="C285" s="41">
        <v>9</v>
      </c>
      <c r="D285" s="1" t="s">
        <v>45</v>
      </c>
      <c r="E285" s="42" t="s">
        <v>56</v>
      </c>
      <c r="F285">
        <v>2</v>
      </c>
      <c r="G285">
        <f t="shared" si="5"/>
        <v>800</v>
      </c>
      <c r="H285" s="31">
        <v>1600</v>
      </c>
      <c r="I285" s="57" t="s">
        <v>28</v>
      </c>
      <c r="J285"/>
      <c r="K285"/>
    </row>
    <row r="286" spans="1:11" ht="15" customHeight="1">
      <c r="A286" s="9">
        <v>255</v>
      </c>
      <c r="B286" s="7" t="s">
        <v>2</v>
      </c>
      <c r="C286" s="41">
        <v>9</v>
      </c>
      <c r="D286" s="1" t="s">
        <v>45</v>
      </c>
      <c r="E286" s="42" t="s">
        <v>53</v>
      </c>
      <c r="F286">
        <v>260</v>
      </c>
      <c r="G286">
        <f t="shared" si="5"/>
        <v>16.153846153846153</v>
      </c>
      <c r="H286" s="31">
        <v>4200</v>
      </c>
      <c r="I286" s="57" t="s">
        <v>28</v>
      </c>
      <c r="J286"/>
      <c r="K286"/>
    </row>
    <row r="287" spans="1:11" ht="16.899999999999999" customHeight="1">
      <c r="A287" s="9">
        <v>255</v>
      </c>
      <c r="B287" s="7" t="s">
        <v>2</v>
      </c>
      <c r="C287" s="41">
        <v>9</v>
      </c>
      <c r="D287" s="1" t="s">
        <v>45</v>
      </c>
      <c r="E287" s="42" t="s">
        <v>50</v>
      </c>
      <c r="F287">
        <v>1</v>
      </c>
      <c r="G287">
        <f t="shared" si="5"/>
        <v>700</v>
      </c>
      <c r="H287" s="48">
        <v>700</v>
      </c>
      <c r="I287" s="57" t="s">
        <v>28</v>
      </c>
      <c r="J287"/>
      <c r="K287"/>
    </row>
    <row r="288" spans="1:11" ht="16.899999999999999" customHeight="1">
      <c r="A288" s="9">
        <v>255</v>
      </c>
      <c r="B288" s="7" t="s">
        <v>2</v>
      </c>
      <c r="C288" s="41">
        <v>10</v>
      </c>
      <c r="D288" s="1" t="s">
        <v>45</v>
      </c>
      <c r="E288" s="42" t="s">
        <v>65</v>
      </c>
      <c r="F288">
        <v>66.400000000000006</v>
      </c>
      <c r="G288">
        <f t="shared" si="5"/>
        <v>319.2771084337349</v>
      </c>
      <c r="H288" s="31">
        <v>21200</v>
      </c>
      <c r="I288" s="57" t="s">
        <v>28</v>
      </c>
      <c r="J288"/>
      <c r="K288"/>
    </row>
    <row r="289" spans="1:11" ht="16.899999999999999" customHeight="1">
      <c r="A289" s="9">
        <v>255</v>
      </c>
      <c r="B289" s="7" t="s">
        <v>2</v>
      </c>
      <c r="C289" s="41">
        <v>10</v>
      </c>
      <c r="D289" s="1" t="s">
        <v>45</v>
      </c>
      <c r="E289" s="42" t="s">
        <v>132</v>
      </c>
      <c r="F289">
        <v>2</v>
      </c>
      <c r="G289">
        <f t="shared" si="5"/>
        <v>900</v>
      </c>
      <c r="H289" s="31">
        <v>1800</v>
      </c>
      <c r="I289" s="57" t="s">
        <v>28</v>
      </c>
      <c r="J289"/>
      <c r="K289"/>
    </row>
    <row r="290" spans="1:11" ht="15" customHeight="1">
      <c r="A290" s="9">
        <v>255</v>
      </c>
      <c r="B290" s="7" t="s">
        <v>2</v>
      </c>
      <c r="C290" s="41">
        <v>10</v>
      </c>
      <c r="D290" s="1" t="s">
        <v>45</v>
      </c>
      <c r="E290" s="42" t="s">
        <v>130</v>
      </c>
      <c r="F290">
        <v>6</v>
      </c>
      <c r="G290">
        <f t="shared" si="5"/>
        <v>80</v>
      </c>
      <c r="H290" s="31">
        <v>480</v>
      </c>
      <c r="I290" s="57" t="s">
        <v>28</v>
      </c>
      <c r="J290"/>
      <c r="K290"/>
    </row>
    <row r="291" spans="1:11" ht="16.899999999999999" customHeight="1">
      <c r="A291" s="9">
        <v>255</v>
      </c>
      <c r="B291" s="7" t="s">
        <v>2</v>
      </c>
      <c r="C291" s="41">
        <v>10</v>
      </c>
      <c r="D291" s="1" t="s">
        <v>45</v>
      </c>
      <c r="E291" s="42" t="s">
        <v>108</v>
      </c>
      <c r="F291">
        <v>6</v>
      </c>
      <c r="G291">
        <f t="shared" si="5"/>
        <v>55</v>
      </c>
      <c r="H291" s="31">
        <v>330</v>
      </c>
      <c r="I291" s="57" t="s">
        <v>28</v>
      </c>
      <c r="J291"/>
      <c r="K291"/>
    </row>
    <row r="292" spans="1:11" ht="16.899999999999999" customHeight="1">
      <c r="A292" s="9">
        <v>255</v>
      </c>
      <c r="B292" s="7" t="s">
        <v>2</v>
      </c>
      <c r="C292" s="41">
        <v>10</v>
      </c>
      <c r="D292" s="1" t="s">
        <v>45</v>
      </c>
      <c r="E292" s="42" t="s">
        <v>133</v>
      </c>
      <c r="F292">
        <v>1</v>
      </c>
      <c r="G292">
        <f t="shared" si="5"/>
        <v>200</v>
      </c>
      <c r="H292" s="31">
        <v>200</v>
      </c>
      <c r="I292" s="57" t="s">
        <v>28</v>
      </c>
      <c r="J292"/>
      <c r="K292"/>
    </row>
    <row r="293" spans="1:11" ht="15" customHeight="1">
      <c r="A293" s="9">
        <v>255</v>
      </c>
      <c r="B293" s="7" t="s">
        <v>2</v>
      </c>
      <c r="C293" s="41">
        <v>10</v>
      </c>
      <c r="D293" s="1" t="s">
        <v>45</v>
      </c>
      <c r="E293" s="42" t="s">
        <v>66</v>
      </c>
      <c r="F293">
        <v>20</v>
      </c>
      <c r="G293">
        <f t="shared" si="5"/>
        <v>40</v>
      </c>
      <c r="H293" s="31">
        <v>800</v>
      </c>
      <c r="I293" s="57" t="s">
        <v>28</v>
      </c>
      <c r="J293"/>
      <c r="K293"/>
    </row>
    <row r="294" spans="1:11" ht="15" customHeight="1">
      <c r="A294" s="9">
        <v>255</v>
      </c>
      <c r="B294" s="7" t="s">
        <v>2</v>
      </c>
      <c r="C294" s="41">
        <v>11</v>
      </c>
      <c r="D294" s="1" t="s">
        <v>45</v>
      </c>
      <c r="E294" s="42" t="s">
        <v>56</v>
      </c>
      <c r="F294">
        <v>45</v>
      </c>
      <c r="G294">
        <f t="shared" si="5"/>
        <v>48.888888888888886</v>
      </c>
      <c r="H294" s="31">
        <v>2200</v>
      </c>
      <c r="I294" s="57" t="s">
        <v>28</v>
      </c>
      <c r="J294"/>
      <c r="K294"/>
    </row>
    <row r="295" spans="1:11" ht="16.899999999999999" customHeight="1">
      <c r="A295" s="9">
        <v>255</v>
      </c>
      <c r="B295" s="7" t="s">
        <v>2</v>
      </c>
      <c r="C295" s="41">
        <v>11</v>
      </c>
      <c r="D295" s="1" t="s">
        <v>45</v>
      </c>
      <c r="E295" s="42" t="s">
        <v>108</v>
      </c>
      <c r="F295">
        <v>30</v>
      </c>
      <c r="G295">
        <f t="shared" si="5"/>
        <v>46.666666666666664</v>
      </c>
      <c r="H295" s="31">
        <v>1400</v>
      </c>
      <c r="I295" s="57" t="s">
        <v>28</v>
      </c>
      <c r="J295"/>
      <c r="K295"/>
    </row>
    <row r="296" spans="1:11" ht="15" customHeight="1">
      <c r="A296" s="9">
        <v>256</v>
      </c>
      <c r="B296" s="7" t="s">
        <v>2</v>
      </c>
      <c r="C296" s="41">
        <v>11</v>
      </c>
      <c r="D296" s="1" t="s">
        <v>45</v>
      </c>
      <c r="E296" s="42" t="s">
        <v>134</v>
      </c>
      <c r="F296">
        <v>1</v>
      </c>
      <c r="G296">
        <f t="shared" si="5"/>
        <v>100</v>
      </c>
      <c r="H296" s="31">
        <v>100</v>
      </c>
      <c r="I296" s="57" t="s">
        <v>28</v>
      </c>
      <c r="J296"/>
      <c r="K296"/>
    </row>
    <row r="297" spans="1:11" ht="15" customHeight="1">
      <c r="A297" s="9">
        <v>257</v>
      </c>
      <c r="B297" s="7" t="s">
        <v>2</v>
      </c>
      <c r="C297" s="41">
        <v>11</v>
      </c>
      <c r="D297" s="1" t="s">
        <v>45</v>
      </c>
      <c r="E297" s="42" t="s">
        <v>50</v>
      </c>
      <c r="F297">
        <v>1</v>
      </c>
      <c r="G297">
        <f t="shared" si="5"/>
        <v>300</v>
      </c>
      <c r="H297" s="31">
        <v>300</v>
      </c>
      <c r="I297" s="57" t="s">
        <v>28</v>
      </c>
      <c r="J297"/>
      <c r="K297"/>
    </row>
    <row r="298" spans="1:11" ht="16.899999999999999" customHeight="1">
      <c r="A298" s="9">
        <v>258</v>
      </c>
      <c r="B298" s="7" t="s">
        <v>2</v>
      </c>
      <c r="C298" s="41">
        <v>11</v>
      </c>
      <c r="D298" s="1" t="s">
        <v>45</v>
      </c>
      <c r="E298" s="42" t="s">
        <v>135</v>
      </c>
      <c r="F298">
        <v>1</v>
      </c>
      <c r="G298">
        <f t="shared" si="5"/>
        <v>1900</v>
      </c>
      <c r="H298" s="31">
        <v>1900</v>
      </c>
      <c r="I298" s="57" t="s">
        <v>28</v>
      </c>
      <c r="J298"/>
      <c r="K298"/>
    </row>
    <row r="299" spans="1:11" ht="16.899999999999999" customHeight="1">
      <c r="A299" s="9">
        <v>259</v>
      </c>
      <c r="B299" s="7" t="s">
        <v>2</v>
      </c>
      <c r="C299" s="41">
        <v>12</v>
      </c>
      <c r="D299" s="1" t="s">
        <v>45</v>
      </c>
      <c r="E299" s="42" t="s">
        <v>57</v>
      </c>
      <c r="F299">
        <v>64.8</v>
      </c>
      <c r="G299">
        <f t="shared" si="5"/>
        <v>220.67901234567901</v>
      </c>
      <c r="H299" s="31">
        <v>14300</v>
      </c>
      <c r="I299" s="57" t="s">
        <v>28</v>
      </c>
      <c r="J299"/>
      <c r="K299"/>
    </row>
    <row r="300" spans="1:11" ht="15" customHeight="1">
      <c r="A300" s="9">
        <v>260</v>
      </c>
      <c r="B300" s="7" t="s">
        <v>2</v>
      </c>
      <c r="C300" s="41">
        <v>12</v>
      </c>
      <c r="D300" s="1" t="s">
        <v>45</v>
      </c>
      <c r="E300" s="42" t="s">
        <v>56</v>
      </c>
      <c r="F300">
        <v>3</v>
      </c>
      <c r="G300">
        <f t="shared" si="5"/>
        <v>800</v>
      </c>
      <c r="H300" s="31">
        <v>2400</v>
      </c>
      <c r="I300" s="57" t="s">
        <v>28</v>
      </c>
      <c r="J300"/>
      <c r="K300"/>
    </row>
    <row r="301" spans="1:11" ht="16.899999999999999" customHeight="1">
      <c r="A301" s="9">
        <v>261</v>
      </c>
      <c r="B301" s="7" t="s">
        <v>2</v>
      </c>
      <c r="C301" s="41">
        <v>12</v>
      </c>
      <c r="D301" s="1" t="s">
        <v>45</v>
      </c>
      <c r="E301" s="42" t="s">
        <v>82</v>
      </c>
      <c r="F301">
        <v>7</v>
      </c>
      <c r="G301">
        <f t="shared" si="5"/>
        <v>71.428571428571431</v>
      </c>
      <c r="H301" s="31">
        <v>500</v>
      </c>
      <c r="I301" s="57" t="s">
        <v>28</v>
      </c>
      <c r="J301"/>
      <c r="K301"/>
    </row>
    <row r="302" spans="1:11" ht="15" customHeight="1">
      <c r="A302" s="9">
        <v>262</v>
      </c>
      <c r="B302" s="7" t="s">
        <v>2</v>
      </c>
      <c r="C302" s="41">
        <v>12</v>
      </c>
      <c r="D302" s="1" t="s">
        <v>45</v>
      </c>
      <c r="E302" s="42" t="s">
        <v>86</v>
      </c>
      <c r="F302">
        <v>10</v>
      </c>
      <c r="G302">
        <f t="shared" si="5"/>
        <v>90</v>
      </c>
      <c r="H302" s="31">
        <v>900</v>
      </c>
      <c r="I302" s="57" t="s">
        <v>28</v>
      </c>
      <c r="J302"/>
      <c r="K302"/>
    </row>
    <row r="303" spans="1:11" ht="15.6" customHeight="1">
      <c r="A303" s="9">
        <v>263</v>
      </c>
      <c r="B303" s="7" t="s">
        <v>2</v>
      </c>
      <c r="C303" s="41">
        <v>12</v>
      </c>
      <c r="D303" s="1" t="s">
        <v>45</v>
      </c>
      <c r="E303" s="42" t="s">
        <v>130</v>
      </c>
      <c r="F303">
        <v>10</v>
      </c>
      <c r="G303">
        <f t="shared" si="5"/>
        <v>70</v>
      </c>
      <c r="H303" s="31">
        <v>700</v>
      </c>
      <c r="I303" s="57" t="s">
        <v>28</v>
      </c>
      <c r="J303"/>
      <c r="K303"/>
    </row>
    <row r="304" spans="1:11" ht="15" customHeight="1">
      <c r="A304" s="9">
        <v>264</v>
      </c>
      <c r="B304" s="7" t="s">
        <v>2</v>
      </c>
      <c r="C304" s="41">
        <v>12</v>
      </c>
      <c r="D304" s="1" t="s">
        <v>45</v>
      </c>
      <c r="E304" s="42" t="s">
        <v>136</v>
      </c>
      <c r="F304">
        <v>1</v>
      </c>
      <c r="G304">
        <f t="shared" si="5"/>
        <v>230</v>
      </c>
      <c r="H304" s="31">
        <v>230</v>
      </c>
      <c r="I304" s="57" t="s">
        <v>28</v>
      </c>
      <c r="J304"/>
      <c r="K304"/>
    </row>
    <row r="305" spans="1:11" ht="15" customHeight="1">
      <c r="A305" s="9">
        <v>265</v>
      </c>
      <c r="B305" s="7" t="s">
        <v>2</v>
      </c>
      <c r="C305" s="41">
        <v>12</v>
      </c>
      <c r="D305" s="1" t="s">
        <v>45</v>
      </c>
      <c r="E305" s="42" t="s">
        <v>65</v>
      </c>
      <c r="F305">
        <v>10.4</v>
      </c>
      <c r="G305">
        <f t="shared" si="5"/>
        <v>211.53846153846152</v>
      </c>
      <c r="H305" s="31">
        <v>2200</v>
      </c>
      <c r="I305" s="57" t="s">
        <v>28</v>
      </c>
      <c r="J305"/>
      <c r="K305"/>
    </row>
    <row r="306" spans="1:11" ht="15" customHeight="1">
      <c r="A306" s="9">
        <v>266</v>
      </c>
      <c r="B306" s="7" t="s">
        <v>2</v>
      </c>
      <c r="C306" s="41">
        <v>12</v>
      </c>
      <c r="D306" s="1" t="s">
        <v>45</v>
      </c>
      <c r="E306" s="42" t="s">
        <v>53</v>
      </c>
      <c r="F306">
        <v>390</v>
      </c>
      <c r="G306">
        <f t="shared" si="5"/>
        <v>17.692307692307693</v>
      </c>
      <c r="H306" s="31">
        <v>6900</v>
      </c>
      <c r="I306" s="57" t="s">
        <v>28</v>
      </c>
      <c r="J306"/>
      <c r="K306"/>
    </row>
    <row r="307" spans="1:11" ht="16.899999999999999" customHeight="1">
      <c r="A307" s="9">
        <v>267</v>
      </c>
      <c r="B307" s="7" t="s">
        <v>2</v>
      </c>
      <c r="C307" s="41">
        <v>12</v>
      </c>
      <c r="D307" s="1" t="s">
        <v>45</v>
      </c>
      <c r="E307" s="42" t="s">
        <v>50</v>
      </c>
      <c r="F307">
        <v>1</v>
      </c>
      <c r="G307">
        <v>800</v>
      </c>
      <c r="H307" s="31"/>
      <c r="I307" s="57" t="s">
        <v>28</v>
      </c>
      <c r="J307"/>
      <c r="K307"/>
    </row>
    <row r="308" spans="1:11" ht="16.899999999999999" customHeight="1">
      <c r="A308" s="9">
        <v>268</v>
      </c>
      <c r="B308" s="7" t="s">
        <v>2</v>
      </c>
      <c r="C308" s="41">
        <v>13</v>
      </c>
      <c r="D308" s="1" t="s">
        <v>45</v>
      </c>
      <c r="E308" s="42" t="s">
        <v>65</v>
      </c>
      <c r="F308">
        <v>68.5</v>
      </c>
      <c r="G308">
        <f t="shared" si="5"/>
        <v>309.92700729927009</v>
      </c>
      <c r="H308" s="31">
        <v>21230</v>
      </c>
      <c r="I308" s="57" t="s">
        <v>28</v>
      </c>
      <c r="J308"/>
      <c r="K308"/>
    </row>
    <row r="309" spans="1:11" ht="16.899999999999999" customHeight="1">
      <c r="A309" s="9">
        <v>269</v>
      </c>
      <c r="B309" s="7" t="s">
        <v>2</v>
      </c>
      <c r="C309" s="41">
        <v>13</v>
      </c>
      <c r="D309" s="1" t="s">
        <v>45</v>
      </c>
      <c r="E309" s="42" t="s">
        <v>54</v>
      </c>
      <c r="F309">
        <v>10</v>
      </c>
      <c r="G309">
        <f t="shared" si="5"/>
        <v>140</v>
      </c>
      <c r="H309" s="31">
        <v>1400</v>
      </c>
      <c r="I309" s="57" t="s">
        <v>28</v>
      </c>
      <c r="J309"/>
      <c r="K309"/>
    </row>
    <row r="310" spans="1:11" ht="16.149999999999999" customHeight="1">
      <c r="A310" s="9">
        <v>270</v>
      </c>
      <c r="B310" s="7" t="s">
        <v>2</v>
      </c>
      <c r="C310" s="41">
        <v>13</v>
      </c>
      <c r="D310" s="1" t="s">
        <v>45</v>
      </c>
      <c r="E310" s="42" t="s">
        <v>67</v>
      </c>
      <c r="F310">
        <v>10</v>
      </c>
      <c r="G310">
        <f t="shared" si="5"/>
        <v>160</v>
      </c>
      <c r="H310" s="31">
        <v>1600</v>
      </c>
      <c r="I310" s="57" t="s">
        <v>28</v>
      </c>
      <c r="J310"/>
      <c r="K310"/>
    </row>
    <row r="311" spans="1:11" ht="16.899999999999999" customHeight="1">
      <c r="A311" s="9">
        <v>271</v>
      </c>
      <c r="B311" s="7" t="s">
        <v>2</v>
      </c>
      <c r="C311" s="41">
        <v>13</v>
      </c>
      <c r="D311" s="1" t="s">
        <v>45</v>
      </c>
      <c r="E311" s="42" t="s">
        <v>108</v>
      </c>
      <c r="F311">
        <v>10</v>
      </c>
      <c r="G311">
        <f t="shared" si="5"/>
        <v>60</v>
      </c>
      <c r="H311" s="31">
        <v>600</v>
      </c>
      <c r="I311" s="57" t="s">
        <v>28</v>
      </c>
      <c r="J311"/>
      <c r="K311"/>
    </row>
    <row r="312" spans="1:11" ht="16.899999999999999" customHeight="1">
      <c r="A312" s="9">
        <v>272</v>
      </c>
      <c r="B312" s="7" t="s">
        <v>2</v>
      </c>
      <c r="C312" s="41">
        <v>13</v>
      </c>
      <c r="D312" s="1" t="s">
        <v>45</v>
      </c>
      <c r="E312" s="42" t="s">
        <v>66</v>
      </c>
      <c r="F312">
        <v>20</v>
      </c>
      <c r="G312">
        <f t="shared" si="5"/>
        <v>40</v>
      </c>
      <c r="H312" s="31">
        <v>800</v>
      </c>
      <c r="I312" s="57" t="s">
        <v>28</v>
      </c>
      <c r="J312"/>
      <c r="K312"/>
    </row>
    <row r="313" spans="1:11" ht="16.899999999999999" customHeight="1">
      <c r="A313" s="9">
        <v>273</v>
      </c>
      <c r="B313" s="7" t="s">
        <v>2</v>
      </c>
      <c r="C313" s="41">
        <v>13</v>
      </c>
      <c r="D313" s="1" t="s">
        <v>45</v>
      </c>
      <c r="E313" s="42" t="s">
        <v>61</v>
      </c>
      <c r="F313">
        <v>1.5</v>
      </c>
      <c r="G313">
        <f t="shared" si="5"/>
        <v>966.66666666666663</v>
      </c>
      <c r="H313" s="31">
        <v>1450</v>
      </c>
      <c r="I313" s="57" t="s">
        <v>28</v>
      </c>
      <c r="J313"/>
      <c r="K313"/>
    </row>
    <row r="314" spans="1:11" ht="16.899999999999999" customHeight="1">
      <c r="A314" s="9">
        <v>274</v>
      </c>
      <c r="B314" s="7" t="s">
        <v>2</v>
      </c>
      <c r="C314" s="41">
        <v>13</v>
      </c>
      <c r="D314" s="1" t="s">
        <v>45</v>
      </c>
      <c r="E314" s="42" t="s">
        <v>63</v>
      </c>
      <c r="F314">
        <v>1</v>
      </c>
      <c r="G314">
        <f t="shared" si="5"/>
        <v>1700</v>
      </c>
      <c r="H314" s="31">
        <v>1700</v>
      </c>
      <c r="I314" s="57" t="s">
        <v>28</v>
      </c>
      <c r="J314"/>
      <c r="K314"/>
    </row>
    <row r="315" spans="1:11" ht="16.149999999999999" customHeight="1">
      <c r="A315" s="9">
        <v>275</v>
      </c>
      <c r="B315" s="7" t="s">
        <v>2</v>
      </c>
      <c r="C315" s="41">
        <v>13</v>
      </c>
      <c r="D315" s="1" t="s">
        <v>45</v>
      </c>
      <c r="E315" s="42" t="s">
        <v>50</v>
      </c>
      <c r="F315">
        <v>1</v>
      </c>
      <c r="G315">
        <f t="shared" si="5"/>
        <v>700</v>
      </c>
      <c r="H315" s="31">
        <v>700</v>
      </c>
      <c r="I315" s="57" t="s">
        <v>28</v>
      </c>
      <c r="J315"/>
      <c r="K315"/>
    </row>
    <row r="316" spans="1:11" ht="16.149999999999999" customHeight="1">
      <c r="A316" s="9">
        <v>276</v>
      </c>
      <c r="B316" s="7" t="s">
        <v>2</v>
      </c>
      <c r="C316" s="41">
        <v>13</v>
      </c>
      <c r="D316" s="1" t="s">
        <v>45</v>
      </c>
      <c r="E316" s="42" t="s">
        <v>33</v>
      </c>
      <c r="F316">
        <v>1</v>
      </c>
      <c r="G316">
        <f t="shared" si="5"/>
        <v>55650</v>
      </c>
      <c r="H316" s="31">
        <v>55650</v>
      </c>
      <c r="I316" s="7" t="s">
        <v>33</v>
      </c>
      <c r="J316"/>
      <c r="K316"/>
    </row>
    <row r="317" spans="1:11" ht="15.6" customHeight="1">
      <c r="A317" s="9">
        <v>277</v>
      </c>
      <c r="B317" s="7" t="s">
        <v>2</v>
      </c>
      <c r="C317" s="41">
        <v>13</v>
      </c>
      <c r="D317" s="1" t="s">
        <v>45</v>
      </c>
      <c r="E317"/>
      <c r="F317">
        <v>1</v>
      </c>
      <c r="G317">
        <f t="shared" si="5"/>
        <v>0</v>
      </c>
      <c r="H317" s="31"/>
      <c r="I317" s="57"/>
      <c r="J317"/>
      <c r="K317"/>
    </row>
  </sheetData>
  <autoFilter ref="A5:I317" xr:uid="{00000000-0009-0000-0000-000002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7EDA-D77C-488A-A6D9-A6A5FA136E1F}">
  <dimension ref="A1:X319"/>
  <sheetViews>
    <sheetView zoomScale="90" zoomScaleNormal="90" workbookViewId="0">
      <pane ySplit="6" topLeftCell="A284" activePane="bottomLeft" state="frozen"/>
      <selection activeCell="F15" sqref="F15"/>
      <selection pane="bottomLeft" activeCell="F15" sqref="F15"/>
    </sheetView>
  </sheetViews>
  <sheetFormatPr defaultColWidth="9.140625" defaultRowHeight="15"/>
  <cols>
    <col min="1" max="1" width="9.140625" style="9"/>
    <col min="2" max="2" width="11.85546875" style="1" customWidth="1"/>
    <col min="3" max="3" width="5.140625" style="7" customWidth="1"/>
    <col min="4" max="4" width="16.28515625" style="1" customWidth="1"/>
    <col min="5" max="5" width="23" style="42" customWidth="1"/>
    <col min="6" max="6" width="7.140625" style="35" customWidth="1"/>
    <col min="7" max="7" width="11" style="3" customWidth="1"/>
    <col min="8" max="8" width="13" style="2" customWidth="1"/>
    <col min="9" max="9" width="14.5703125" style="35" customWidth="1"/>
    <col min="10" max="10" width="12.5703125" style="1" customWidth="1"/>
    <col min="11" max="11" width="12.28515625" style="9" customWidth="1"/>
    <col min="12" max="12" width="13.28515625" style="9" customWidth="1"/>
    <col min="13" max="13" width="11.140625" style="9" customWidth="1"/>
    <col min="14" max="14" width="10.28515625" style="9" customWidth="1"/>
    <col min="15" max="15" width="15.28515625" style="9" customWidth="1"/>
    <col min="16" max="16" width="15.140625" style="9" customWidth="1"/>
    <col min="17" max="17" width="14.42578125" style="9" customWidth="1"/>
    <col min="18" max="18" width="12.140625" style="9" customWidth="1"/>
    <col min="19" max="19" width="9.140625" style="9" customWidth="1"/>
    <col min="20" max="20" width="11.140625" style="9" customWidth="1"/>
    <col min="21" max="21" width="15.5703125" style="9" customWidth="1"/>
    <col min="22" max="23" width="9.140625" style="9"/>
    <col min="24" max="24" width="13.7109375" style="9" bestFit="1" customWidth="1"/>
    <col min="25" max="16384" width="9.140625" style="9"/>
  </cols>
  <sheetData>
    <row r="1" spans="1:24" ht="15.75">
      <c r="B1" s="8" t="s">
        <v>137</v>
      </c>
      <c r="C1" s="8"/>
      <c r="D1" s="8"/>
      <c r="E1" s="8"/>
      <c r="F1" s="8"/>
      <c r="G1" s="8"/>
      <c r="H1" s="8"/>
      <c r="I1" s="8"/>
      <c r="J1" s="7" t="s">
        <v>1</v>
      </c>
      <c r="K1" s="7" t="s">
        <v>2</v>
      </c>
      <c r="L1" s="7" t="s">
        <v>3</v>
      </c>
      <c r="M1" s="7" t="s">
        <v>4</v>
      </c>
      <c r="N1" s="7" t="s">
        <v>5</v>
      </c>
      <c r="O1" s="8" t="s">
        <v>6</v>
      </c>
      <c r="P1" s="38"/>
      <c r="Q1" s="1"/>
      <c r="R1" s="70"/>
      <c r="T1" s="71"/>
      <c r="U1" s="51"/>
      <c r="X1" s="26"/>
    </row>
    <row r="2" spans="1:24" ht="15.75">
      <c r="G2" s="1"/>
      <c r="J2" s="10">
        <f>SUMIFS(H:H,B:B,J1)</f>
        <v>990315</v>
      </c>
      <c r="K2" s="13">
        <f>SUMIFS($H$7:$H$1048576,B$7:B$1048576,K1)</f>
        <v>190464</v>
      </c>
      <c r="L2" s="72">
        <f>SUMIFS($H$7:$H$1048576,B$7:B$1048576,L1)</f>
        <v>0</v>
      </c>
      <c r="M2" s="72">
        <f>SUMIFS($H$7:$H$1048576,B$7:B$1048576,M1)</f>
        <v>0</v>
      </c>
      <c r="N2" s="72">
        <f>SUMIFS($H$7:$H$1048576,B$7:B$1048576,N1)</f>
        <v>0</v>
      </c>
      <c r="O2" s="72">
        <f>SUMIFS($H$7:$H$1048576,B$7:B$1048576,O1)+'[1]অন্যান্য খাত'!I2</f>
        <v>0</v>
      </c>
      <c r="P2" s="39"/>
      <c r="Q2" s="1"/>
      <c r="R2" s="73"/>
      <c r="T2" s="40"/>
      <c r="U2" s="51"/>
    </row>
    <row r="3" spans="1:24" ht="21" customHeight="1">
      <c r="J3" s="7" t="s">
        <v>138</v>
      </c>
      <c r="K3" s="7" t="s">
        <v>13</v>
      </c>
      <c r="L3" s="50" t="s">
        <v>14</v>
      </c>
      <c r="M3" s="7" t="s">
        <v>15</v>
      </c>
      <c r="N3" s="74" t="s">
        <v>16</v>
      </c>
      <c r="O3" s="10" t="s">
        <v>17</v>
      </c>
      <c r="Q3" s="1"/>
      <c r="R3" s="73"/>
      <c r="T3" s="40"/>
      <c r="U3" s="51"/>
    </row>
    <row r="4" spans="1:24" ht="16.899999999999999" customHeight="1">
      <c r="H4" s="75"/>
      <c r="I4" s="76"/>
      <c r="J4" s="74">
        <f>SUMIFS($H$7:$H$1048576,B$7:B$1048576,J3)+'[1]অন্যান্য খাত'!J2</f>
        <v>0</v>
      </c>
      <c r="K4" s="72">
        <f>SUMIFS($H$7:$H$1048576,B$7:B$1048576,K3)</f>
        <v>0</v>
      </c>
      <c r="L4" s="72">
        <f>SUMIFS($H$7:$H$1048576,B$7:B$1048576,L3)</f>
        <v>0</v>
      </c>
      <c r="M4" s="72">
        <f>SUMIFS($H$7:$H$1048576,B$7:B$1048576,M3)</f>
        <v>0</v>
      </c>
      <c r="N4" s="72">
        <f>SUMIFS($H$7:$H$1048576,B$7:B$1048576,N3)</f>
        <v>0</v>
      </c>
      <c r="O4" s="72">
        <f>SUMIFS($H$7:$H$1048576,B$7:B$1048576,O3)</f>
        <v>0</v>
      </c>
      <c r="P4" s="77"/>
      <c r="Q4" s="1"/>
      <c r="R4" s="73"/>
      <c r="T4" s="40"/>
      <c r="U4" s="51"/>
    </row>
    <row r="5" spans="1:24" ht="16.899999999999999" customHeight="1">
      <c r="H5" s="75"/>
      <c r="I5" s="76"/>
      <c r="J5" s="74"/>
      <c r="K5" s="72"/>
      <c r="L5" s="72"/>
      <c r="M5" s="72"/>
      <c r="N5" s="72"/>
      <c r="O5" s="72"/>
      <c r="P5" s="77"/>
      <c r="Q5" s="1"/>
      <c r="R5" s="73"/>
      <c r="T5" s="40"/>
      <c r="U5" s="51"/>
    </row>
    <row r="6" spans="1:24" ht="19.899999999999999" customHeight="1">
      <c r="B6" s="27" t="s">
        <v>22</v>
      </c>
      <c r="C6" s="27"/>
      <c r="D6" s="27" t="s">
        <v>39</v>
      </c>
      <c r="E6" s="27" t="s">
        <v>40</v>
      </c>
      <c r="F6" s="27" t="s">
        <v>23</v>
      </c>
      <c r="G6" s="27" t="s">
        <v>41</v>
      </c>
      <c r="H6" s="55" t="s">
        <v>42</v>
      </c>
      <c r="I6" s="27" t="s">
        <v>43</v>
      </c>
      <c r="J6" s="53" t="s">
        <v>139</v>
      </c>
      <c r="U6" s="16"/>
    </row>
    <row r="7" spans="1:24" ht="15" customHeight="1">
      <c r="A7" s="9">
        <v>1</v>
      </c>
      <c r="B7" s="1" t="s">
        <v>1</v>
      </c>
      <c r="C7" s="41">
        <v>4</v>
      </c>
      <c r="E7" s="42" t="s">
        <v>140</v>
      </c>
      <c r="F7">
        <v>1</v>
      </c>
      <c r="G7">
        <v>1000</v>
      </c>
      <c r="H7" s="31">
        <f t="shared" ref="H7:H16" si="0">F7*G7</f>
        <v>1000</v>
      </c>
      <c r="I7" s="1"/>
      <c r="J7"/>
      <c r="K7"/>
      <c r="L7"/>
      <c r="Q7" s="1"/>
    </row>
    <row r="8" spans="1:24" ht="15" customHeight="1">
      <c r="A8" s="9">
        <v>2</v>
      </c>
      <c r="B8" s="1" t="s">
        <v>1</v>
      </c>
      <c r="C8" s="41">
        <v>4</v>
      </c>
      <c r="D8" s="1" t="s">
        <v>141</v>
      </c>
      <c r="E8" t="s">
        <v>142</v>
      </c>
      <c r="F8">
        <v>1</v>
      </c>
      <c r="G8">
        <v>8552</v>
      </c>
      <c r="H8" s="31">
        <f t="shared" si="0"/>
        <v>8552</v>
      </c>
      <c r="I8"/>
      <c r="J8"/>
      <c r="K8"/>
      <c r="L8"/>
    </row>
    <row r="9" spans="1:24" ht="15" customHeight="1">
      <c r="A9" s="9">
        <v>4</v>
      </c>
      <c r="B9" s="1" t="s">
        <v>1</v>
      </c>
      <c r="C9" s="41">
        <v>4</v>
      </c>
      <c r="E9" s="42" t="s">
        <v>143</v>
      </c>
      <c r="F9">
        <v>1</v>
      </c>
      <c r="G9">
        <v>200</v>
      </c>
      <c r="H9" s="31">
        <f t="shared" si="0"/>
        <v>200</v>
      </c>
      <c r="I9"/>
      <c r="J9"/>
      <c r="K9"/>
      <c r="L9"/>
    </row>
    <row r="10" spans="1:24" ht="15" customHeight="1">
      <c r="B10" s="1" t="s">
        <v>1</v>
      </c>
      <c r="C10" s="41">
        <v>4</v>
      </c>
      <c r="E10" s="42" t="s">
        <v>140</v>
      </c>
      <c r="F10">
        <v>1</v>
      </c>
      <c r="G10">
        <v>1000</v>
      </c>
      <c r="H10" s="31">
        <f t="shared" si="0"/>
        <v>1000</v>
      </c>
      <c r="I10"/>
      <c r="J10"/>
      <c r="K10"/>
      <c r="L10"/>
    </row>
    <row r="11" spans="1:24" ht="15" customHeight="1">
      <c r="A11" s="9">
        <v>5</v>
      </c>
      <c r="B11" s="1" t="s">
        <v>1</v>
      </c>
      <c r="C11" s="41">
        <v>4</v>
      </c>
      <c r="E11" s="42" t="s">
        <v>144</v>
      </c>
      <c r="F11">
        <v>2</v>
      </c>
      <c r="G11">
        <v>340</v>
      </c>
      <c r="H11" s="31">
        <f t="shared" si="0"/>
        <v>680</v>
      </c>
      <c r="I11"/>
      <c r="J11"/>
      <c r="K11"/>
      <c r="L11"/>
    </row>
    <row r="12" spans="1:24" ht="15" customHeight="1">
      <c r="A12" s="9">
        <v>6</v>
      </c>
      <c r="B12" s="1" t="s">
        <v>1</v>
      </c>
      <c r="C12" s="41">
        <v>4</v>
      </c>
      <c r="E12" s="42" t="s">
        <v>145</v>
      </c>
      <c r="F12">
        <v>2</v>
      </c>
      <c r="G12">
        <v>450</v>
      </c>
      <c r="H12" s="31">
        <f t="shared" si="0"/>
        <v>900</v>
      </c>
      <c r="I12"/>
      <c r="J12"/>
      <c r="K12"/>
      <c r="L12"/>
    </row>
    <row r="13" spans="1:24" ht="15" customHeight="1">
      <c r="A13" s="9">
        <v>7</v>
      </c>
      <c r="B13" s="1" t="s">
        <v>1</v>
      </c>
      <c r="C13" s="41">
        <v>4</v>
      </c>
      <c r="E13" s="42" t="s">
        <v>146</v>
      </c>
      <c r="F13">
        <v>1</v>
      </c>
      <c r="G13">
        <v>140</v>
      </c>
      <c r="H13" s="31">
        <f t="shared" si="0"/>
        <v>140</v>
      </c>
      <c r="I13"/>
      <c r="J13"/>
      <c r="K13"/>
      <c r="L13"/>
    </row>
    <row r="14" spans="1:24" ht="15" customHeight="1">
      <c r="A14" s="9">
        <v>8</v>
      </c>
      <c r="B14" s="1" t="s">
        <v>1</v>
      </c>
      <c r="C14" s="41">
        <v>4</v>
      </c>
      <c r="E14" s="42" t="s">
        <v>83</v>
      </c>
      <c r="F14">
        <v>1</v>
      </c>
      <c r="G14">
        <v>680</v>
      </c>
      <c r="H14" s="31">
        <f t="shared" si="0"/>
        <v>680</v>
      </c>
      <c r="I14"/>
      <c r="J14" t="s">
        <v>124</v>
      </c>
      <c r="K14"/>
      <c r="L14"/>
    </row>
    <row r="15" spans="1:24" ht="15" customHeight="1">
      <c r="A15" s="9">
        <v>9</v>
      </c>
      <c r="B15" s="1" t="s">
        <v>1</v>
      </c>
      <c r="C15" s="41">
        <v>4</v>
      </c>
      <c r="E15" s="42" t="s">
        <v>105</v>
      </c>
      <c r="F15">
        <v>30</v>
      </c>
      <c r="G15">
        <v>560</v>
      </c>
      <c r="H15" s="31">
        <f t="shared" si="0"/>
        <v>16800</v>
      </c>
      <c r="I15"/>
      <c r="J15"/>
      <c r="K15"/>
      <c r="L15"/>
    </row>
    <row r="16" spans="1:24" ht="15" customHeight="1">
      <c r="A16" s="9">
        <v>10</v>
      </c>
      <c r="B16" s="1" t="s">
        <v>1</v>
      </c>
      <c r="C16" s="41">
        <v>4</v>
      </c>
      <c r="E16" s="42" t="s">
        <v>147</v>
      </c>
      <c r="F16">
        <v>2.5</v>
      </c>
      <c r="G16">
        <v>5760</v>
      </c>
      <c r="H16" s="31">
        <f t="shared" si="0"/>
        <v>14400</v>
      </c>
      <c r="I16" t="s">
        <v>28</v>
      </c>
      <c r="J16"/>
      <c r="K16"/>
      <c r="L16"/>
    </row>
    <row r="17" spans="1:15" ht="15" customHeight="1">
      <c r="A17" s="9">
        <v>11</v>
      </c>
      <c r="B17" s="1" t="s">
        <v>1</v>
      </c>
      <c r="C17" s="41">
        <v>6</v>
      </c>
      <c r="E17" s="42" t="s">
        <v>148</v>
      </c>
      <c r="F17">
        <v>1</v>
      </c>
      <c r="G17">
        <v>1</v>
      </c>
      <c r="H17" s="31">
        <v>480</v>
      </c>
      <c r="I17" t="s">
        <v>28</v>
      </c>
      <c r="J17"/>
      <c r="K17"/>
      <c r="L17"/>
    </row>
    <row r="18" spans="1:15" ht="15" customHeight="1">
      <c r="A18" s="9">
        <v>12</v>
      </c>
      <c r="B18" s="78" t="s">
        <v>1</v>
      </c>
      <c r="C18" s="79">
        <v>4</v>
      </c>
      <c r="D18" s="78"/>
      <c r="E18" s="80" t="s">
        <v>149</v>
      </c>
      <c r="F18" s="81">
        <v>1</v>
      </c>
      <c r="G18" s="81"/>
      <c r="H18" s="82">
        <v>52000</v>
      </c>
      <c r="I18" s="81" t="s">
        <v>28</v>
      </c>
      <c r="J18"/>
      <c r="K18"/>
      <c r="L18"/>
    </row>
    <row r="19" spans="1:15" ht="15" customHeight="1">
      <c r="A19" s="9">
        <v>13</v>
      </c>
      <c r="B19" s="1" t="s">
        <v>1</v>
      </c>
      <c r="C19" s="41">
        <v>8</v>
      </c>
      <c r="E19" s="42" t="s">
        <v>150</v>
      </c>
      <c r="F19">
        <v>1.5</v>
      </c>
      <c r="G19"/>
      <c r="H19" s="2">
        <v>450</v>
      </c>
      <c r="I19"/>
      <c r="J19" s="31"/>
      <c r="K19"/>
      <c r="L19"/>
    </row>
    <row r="20" spans="1:15" ht="15" customHeight="1">
      <c r="A20" s="9">
        <v>14</v>
      </c>
      <c r="B20" s="1" t="s">
        <v>1</v>
      </c>
      <c r="C20" s="41">
        <v>8</v>
      </c>
      <c r="E20" s="42" t="s">
        <v>104</v>
      </c>
      <c r="F20">
        <v>2</v>
      </c>
      <c r="G20"/>
      <c r="H20" s="31">
        <v>160</v>
      </c>
      <c r="I20"/>
      <c r="J20"/>
      <c r="K20"/>
      <c r="L20"/>
    </row>
    <row r="21" spans="1:15">
      <c r="A21" s="9">
        <v>15</v>
      </c>
      <c r="B21" s="1" t="s">
        <v>1</v>
      </c>
      <c r="C21" s="41">
        <v>8</v>
      </c>
      <c r="E21" s="42" t="s">
        <v>151</v>
      </c>
      <c r="F21">
        <v>8</v>
      </c>
      <c r="G21"/>
      <c r="H21" s="31">
        <v>40</v>
      </c>
      <c r="I21"/>
      <c r="J21"/>
      <c r="K21"/>
      <c r="L21"/>
    </row>
    <row r="22" spans="1:15">
      <c r="A22" s="9">
        <v>16</v>
      </c>
      <c r="B22" s="1" t="s">
        <v>1</v>
      </c>
      <c r="C22" s="41">
        <v>8</v>
      </c>
      <c r="E22" s="42" t="s">
        <v>130</v>
      </c>
      <c r="F22">
        <v>0.5</v>
      </c>
      <c r="G22"/>
      <c r="H22" s="31">
        <v>10</v>
      </c>
      <c r="I22"/>
      <c r="J22"/>
      <c r="K22"/>
      <c r="L22"/>
    </row>
    <row r="23" spans="1:15">
      <c r="A23" s="9">
        <v>17</v>
      </c>
      <c r="B23" s="1" t="s">
        <v>1</v>
      </c>
      <c r="C23" s="41">
        <v>8</v>
      </c>
      <c r="E23" s="42" t="s">
        <v>86</v>
      </c>
      <c r="F23">
        <v>2</v>
      </c>
      <c r="G23"/>
      <c r="H23" s="31">
        <v>40</v>
      </c>
      <c r="I23"/>
      <c r="J23"/>
      <c r="K23"/>
      <c r="L23"/>
    </row>
    <row r="24" spans="1:15" ht="15" customHeight="1">
      <c r="A24" s="9">
        <v>18</v>
      </c>
      <c r="B24" s="1" t="s">
        <v>1</v>
      </c>
      <c r="C24" s="41">
        <v>8</v>
      </c>
      <c r="E24" s="42" t="s">
        <v>69</v>
      </c>
      <c r="F24">
        <v>1</v>
      </c>
      <c r="G24"/>
      <c r="H24" s="31">
        <v>50</v>
      </c>
      <c r="I24"/>
      <c r="J24"/>
      <c r="K24"/>
      <c r="L24"/>
    </row>
    <row r="25" spans="1:15">
      <c r="A25" s="9">
        <v>19</v>
      </c>
      <c r="B25" s="1" t="s">
        <v>1</v>
      </c>
      <c r="C25" s="41">
        <v>9</v>
      </c>
      <c r="D25" s="1" t="s">
        <v>141</v>
      </c>
      <c r="E25" s="42" t="s">
        <v>152</v>
      </c>
      <c r="F25">
        <v>1</v>
      </c>
      <c r="G25"/>
      <c r="H25" s="31">
        <v>1880</v>
      </c>
      <c r="I25"/>
      <c r="J25"/>
      <c r="K25"/>
      <c r="L25"/>
    </row>
    <row r="26" spans="1:15">
      <c r="A26" s="9">
        <v>20</v>
      </c>
      <c r="B26" s="1" t="s">
        <v>1</v>
      </c>
      <c r="C26" s="41">
        <v>9</v>
      </c>
      <c r="E26" s="42" t="s">
        <v>143</v>
      </c>
      <c r="F26">
        <v>1</v>
      </c>
      <c r="G26"/>
      <c r="H26" s="31">
        <v>600</v>
      </c>
      <c r="I26"/>
      <c r="J26"/>
      <c r="K26"/>
      <c r="L26"/>
      <c r="O26" s="9" t="s">
        <v>124</v>
      </c>
    </row>
    <row r="27" spans="1:15">
      <c r="A27" s="9">
        <v>21</v>
      </c>
      <c r="B27" s="1" t="s">
        <v>1</v>
      </c>
      <c r="C27" s="41">
        <v>9</v>
      </c>
      <c r="E27" s="42" t="s">
        <v>153</v>
      </c>
      <c r="F27">
        <v>20</v>
      </c>
      <c r="G27"/>
      <c r="H27" s="31">
        <v>10600</v>
      </c>
      <c r="I27"/>
      <c r="J27"/>
      <c r="K27"/>
      <c r="L27"/>
    </row>
    <row r="28" spans="1:15">
      <c r="A28" s="9">
        <v>24</v>
      </c>
      <c r="B28" s="1" t="s">
        <v>1</v>
      </c>
      <c r="C28" s="41">
        <v>9</v>
      </c>
      <c r="E28" s="42" t="s">
        <v>154</v>
      </c>
      <c r="F28">
        <v>1</v>
      </c>
      <c r="G28"/>
      <c r="H28" s="31">
        <v>1200</v>
      </c>
      <c r="I28"/>
    </row>
    <row r="29" spans="1:15">
      <c r="A29" s="9">
        <v>25</v>
      </c>
      <c r="B29" s="1" t="s">
        <v>1</v>
      </c>
      <c r="C29" s="41">
        <v>9</v>
      </c>
      <c r="D29" s="1" t="s">
        <v>155</v>
      </c>
      <c r="E29" s="42" t="s">
        <v>156</v>
      </c>
      <c r="F29">
        <v>1.5</v>
      </c>
      <c r="G29">
        <v>1000</v>
      </c>
      <c r="H29" s="31">
        <f>F29*G29</f>
        <v>1500</v>
      </c>
      <c r="I29"/>
      <c r="L29" s="9" t="s">
        <v>124</v>
      </c>
    </row>
    <row r="30" spans="1:15">
      <c r="A30" s="9">
        <v>26</v>
      </c>
      <c r="B30" s="1" t="s">
        <v>1</v>
      </c>
      <c r="C30" s="41">
        <v>9</v>
      </c>
      <c r="E30" s="42" t="s">
        <v>140</v>
      </c>
      <c r="F30">
        <v>1</v>
      </c>
      <c r="G30">
        <v>1000</v>
      </c>
      <c r="H30" s="31">
        <f>F30*G30</f>
        <v>1000</v>
      </c>
      <c r="I30"/>
      <c r="J30"/>
      <c r="K30"/>
      <c r="L30"/>
    </row>
    <row r="31" spans="1:15">
      <c r="A31" s="9">
        <v>27</v>
      </c>
      <c r="B31" s="1" t="s">
        <v>1</v>
      </c>
      <c r="C31" s="41">
        <v>9</v>
      </c>
      <c r="D31" s="1" t="s">
        <v>155</v>
      </c>
      <c r="E31" s="42" t="s">
        <v>157</v>
      </c>
      <c r="F31">
        <v>25</v>
      </c>
      <c r="G31"/>
      <c r="H31" s="31">
        <v>3400</v>
      </c>
      <c r="I31" t="s">
        <v>28</v>
      </c>
      <c r="J31"/>
      <c r="K31"/>
      <c r="L31"/>
    </row>
    <row r="32" spans="1:15">
      <c r="A32" s="9">
        <v>28</v>
      </c>
      <c r="B32" s="1" t="s">
        <v>1</v>
      </c>
      <c r="C32" s="41">
        <v>10</v>
      </c>
      <c r="D32" s="1" t="s">
        <v>141</v>
      </c>
      <c r="E32" s="42" t="s">
        <v>152</v>
      </c>
      <c r="F32">
        <v>1</v>
      </c>
      <c r="G32"/>
      <c r="H32" s="31">
        <v>9600</v>
      </c>
      <c r="I32"/>
      <c r="J32"/>
      <c r="K32"/>
      <c r="L32"/>
    </row>
    <row r="33" spans="1:12">
      <c r="A33" s="9">
        <v>29</v>
      </c>
      <c r="B33" s="1" t="s">
        <v>1</v>
      </c>
      <c r="C33" s="41">
        <v>10</v>
      </c>
      <c r="E33" s="42" t="s">
        <v>158</v>
      </c>
      <c r="F33"/>
      <c r="G33"/>
      <c r="H33" s="31">
        <v>3000</v>
      </c>
      <c r="I33"/>
      <c r="J33"/>
      <c r="K33"/>
      <c r="L33"/>
    </row>
    <row r="34" spans="1:12" ht="16.149999999999999" customHeight="1">
      <c r="A34" s="9">
        <v>30</v>
      </c>
      <c r="B34" s="1" t="s">
        <v>1</v>
      </c>
      <c r="C34" s="41">
        <v>10</v>
      </c>
      <c r="D34" s="1" t="s">
        <v>159</v>
      </c>
      <c r="E34" s="42" t="s">
        <v>160</v>
      </c>
      <c r="F34">
        <v>1</v>
      </c>
      <c r="G34">
        <v>1</v>
      </c>
      <c r="H34" s="31">
        <v>5000</v>
      </c>
      <c r="I34"/>
      <c r="J34"/>
      <c r="K34"/>
      <c r="L34"/>
    </row>
    <row r="35" spans="1:12">
      <c r="A35" s="9">
        <v>31</v>
      </c>
      <c r="B35" s="1" t="s">
        <v>1</v>
      </c>
      <c r="C35" s="41">
        <v>10</v>
      </c>
      <c r="D35" s="1" t="s">
        <v>159</v>
      </c>
      <c r="E35" s="42" t="s">
        <v>161</v>
      </c>
      <c r="F35">
        <v>1</v>
      </c>
      <c r="G35"/>
      <c r="H35" s="31">
        <v>5000</v>
      </c>
      <c r="I35"/>
      <c r="J35"/>
      <c r="K35"/>
      <c r="L35"/>
    </row>
    <row r="36" spans="1:12">
      <c r="A36" s="9">
        <v>32</v>
      </c>
      <c r="B36" s="1" t="s">
        <v>1</v>
      </c>
      <c r="C36" s="41">
        <v>10</v>
      </c>
      <c r="E36" s="42" t="s">
        <v>162</v>
      </c>
      <c r="F36">
        <v>1</v>
      </c>
      <c r="G36"/>
      <c r="H36" s="31">
        <v>440</v>
      </c>
      <c r="I36" t="s">
        <v>28</v>
      </c>
      <c r="J36"/>
      <c r="K36"/>
      <c r="L36"/>
    </row>
    <row r="37" spans="1:12">
      <c r="A37" s="9">
        <v>33</v>
      </c>
      <c r="B37" s="1" t="s">
        <v>1</v>
      </c>
      <c r="C37" s="41">
        <v>10</v>
      </c>
      <c r="E37" s="42" t="s">
        <v>163</v>
      </c>
      <c r="F37">
        <v>1</v>
      </c>
      <c r="G37"/>
      <c r="H37" s="31">
        <v>90</v>
      </c>
      <c r="I37" t="s">
        <v>28</v>
      </c>
      <c r="J37"/>
      <c r="K37"/>
      <c r="L37"/>
    </row>
    <row r="38" spans="1:12">
      <c r="A38" s="9">
        <v>34</v>
      </c>
      <c r="B38" s="1" t="s">
        <v>1</v>
      </c>
      <c r="C38" s="41">
        <v>10</v>
      </c>
      <c r="D38" s="1" t="s">
        <v>155</v>
      </c>
      <c r="E38" s="42" t="s">
        <v>157</v>
      </c>
      <c r="F38">
        <v>25</v>
      </c>
      <c r="G38"/>
      <c r="H38" s="31">
        <v>3400</v>
      </c>
      <c r="I38" t="s">
        <v>28</v>
      </c>
      <c r="J38"/>
      <c r="K38"/>
      <c r="L38"/>
    </row>
    <row r="39" spans="1:12">
      <c r="A39" s="9">
        <v>32</v>
      </c>
      <c r="B39" s="1" t="s">
        <v>1</v>
      </c>
      <c r="C39" s="41">
        <v>11</v>
      </c>
      <c r="E39" s="42" t="s">
        <v>164</v>
      </c>
      <c r="F39">
        <v>2</v>
      </c>
      <c r="G39"/>
      <c r="H39" s="31">
        <v>1300</v>
      </c>
      <c r="I39"/>
      <c r="J39"/>
      <c r="K39"/>
      <c r="L39"/>
    </row>
    <row r="40" spans="1:12">
      <c r="A40" s="9">
        <v>33</v>
      </c>
      <c r="B40" s="1" t="s">
        <v>1</v>
      </c>
      <c r="C40" s="41">
        <v>11</v>
      </c>
      <c r="D40" s="1" t="s">
        <v>155</v>
      </c>
      <c r="E40" s="42" t="s">
        <v>165</v>
      </c>
      <c r="F40"/>
      <c r="G40"/>
      <c r="H40" s="31">
        <v>200</v>
      </c>
      <c r="I40"/>
      <c r="J40"/>
      <c r="K40"/>
      <c r="L40"/>
    </row>
    <row r="41" spans="1:12">
      <c r="A41" s="9">
        <v>34</v>
      </c>
      <c r="B41" s="1" t="s">
        <v>1</v>
      </c>
      <c r="C41" s="41">
        <v>11</v>
      </c>
      <c r="E41" s="42" t="s">
        <v>166</v>
      </c>
      <c r="F41">
        <v>1</v>
      </c>
      <c r="G41"/>
      <c r="H41" s="31">
        <v>400</v>
      </c>
      <c r="I41"/>
      <c r="J41"/>
      <c r="K41"/>
      <c r="L41"/>
    </row>
    <row r="42" spans="1:12">
      <c r="A42" s="9">
        <v>35</v>
      </c>
      <c r="B42" s="1" t="s">
        <v>1</v>
      </c>
      <c r="C42" s="41">
        <v>11</v>
      </c>
      <c r="D42" s="1" t="s">
        <v>155</v>
      </c>
      <c r="E42" s="42" t="s">
        <v>167</v>
      </c>
      <c r="F42">
        <v>1</v>
      </c>
      <c r="G42"/>
      <c r="H42" s="31">
        <v>100</v>
      </c>
      <c r="I42"/>
      <c r="J42"/>
      <c r="K42"/>
      <c r="L42"/>
    </row>
    <row r="43" spans="1:12">
      <c r="A43" s="9">
        <v>36</v>
      </c>
      <c r="B43" s="1" t="s">
        <v>1</v>
      </c>
      <c r="C43" s="41">
        <v>11</v>
      </c>
      <c r="D43" s="1" t="s">
        <v>155</v>
      </c>
      <c r="E43" s="42" t="s">
        <v>156</v>
      </c>
      <c r="F43">
        <v>2</v>
      </c>
      <c r="G43">
        <v>900</v>
      </c>
      <c r="H43" s="31">
        <f>F43*G43</f>
        <v>1800</v>
      </c>
      <c r="I43"/>
      <c r="J43"/>
      <c r="K43"/>
      <c r="L43"/>
    </row>
    <row r="44" spans="1:12">
      <c r="A44" s="9">
        <v>37</v>
      </c>
      <c r="B44" s="1" t="s">
        <v>1</v>
      </c>
      <c r="C44" s="41">
        <v>11</v>
      </c>
      <c r="D44" s="1" t="s">
        <v>155</v>
      </c>
      <c r="E44" s="42" t="s">
        <v>168</v>
      </c>
      <c r="F44">
        <v>1</v>
      </c>
      <c r="G44"/>
      <c r="H44" s="31">
        <v>100</v>
      </c>
      <c r="I44"/>
      <c r="J44"/>
      <c r="K44"/>
      <c r="L44"/>
    </row>
    <row r="45" spans="1:12">
      <c r="A45" s="9">
        <v>38</v>
      </c>
      <c r="B45" s="1" t="s">
        <v>1</v>
      </c>
      <c r="C45" s="41">
        <v>11</v>
      </c>
      <c r="E45" s="42" t="s">
        <v>169</v>
      </c>
      <c r="F45"/>
      <c r="G45"/>
      <c r="H45" s="31">
        <v>12000</v>
      </c>
      <c r="I45"/>
      <c r="J45"/>
      <c r="K45"/>
      <c r="L45"/>
    </row>
    <row r="46" spans="1:12">
      <c r="A46" s="9">
        <v>41</v>
      </c>
      <c r="B46" s="1" t="s">
        <v>1</v>
      </c>
      <c r="C46" s="41">
        <v>11</v>
      </c>
      <c r="D46" s="1" t="s">
        <v>159</v>
      </c>
      <c r="E46" s="42" t="s">
        <v>170</v>
      </c>
      <c r="F46"/>
      <c r="G46"/>
      <c r="H46" s="59">
        <v>540</v>
      </c>
      <c r="I46"/>
      <c r="J46"/>
      <c r="K46"/>
      <c r="L46"/>
    </row>
    <row r="47" spans="1:12">
      <c r="A47" s="9">
        <v>42</v>
      </c>
      <c r="B47" s="1" t="s">
        <v>1</v>
      </c>
      <c r="C47" s="41">
        <v>12</v>
      </c>
      <c r="E47" s="42" t="s">
        <v>171</v>
      </c>
      <c r="F47"/>
      <c r="G47"/>
      <c r="H47" s="31">
        <v>4500</v>
      </c>
      <c r="I47"/>
      <c r="J47"/>
      <c r="K47"/>
      <c r="L47"/>
    </row>
    <row r="48" spans="1:12">
      <c r="A48" s="9">
        <v>43</v>
      </c>
      <c r="B48" s="1" t="s">
        <v>1</v>
      </c>
      <c r="C48" s="41">
        <v>12</v>
      </c>
      <c r="E48" s="42" t="s">
        <v>148</v>
      </c>
      <c r="F48"/>
      <c r="G48"/>
      <c r="H48" s="31">
        <v>2000</v>
      </c>
      <c r="I48"/>
      <c r="J48"/>
      <c r="K48"/>
      <c r="L48"/>
    </row>
    <row r="49" spans="1:12">
      <c r="A49" s="9">
        <v>44</v>
      </c>
      <c r="B49" s="1" t="s">
        <v>1</v>
      </c>
      <c r="C49" s="41">
        <v>12</v>
      </c>
      <c r="E49" s="42" t="s">
        <v>172</v>
      </c>
      <c r="F49"/>
      <c r="G49"/>
      <c r="H49" s="31">
        <v>350</v>
      </c>
      <c r="I49"/>
      <c r="J49"/>
      <c r="K49"/>
      <c r="L49"/>
    </row>
    <row r="50" spans="1:12">
      <c r="A50" s="9">
        <v>45</v>
      </c>
      <c r="B50" s="1" t="s">
        <v>1</v>
      </c>
      <c r="C50" s="41">
        <v>12</v>
      </c>
      <c r="E50" s="42" t="s">
        <v>173</v>
      </c>
      <c r="F50"/>
      <c r="G50"/>
      <c r="H50" s="31">
        <v>500</v>
      </c>
      <c r="I50"/>
      <c r="J50"/>
      <c r="K50"/>
      <c r="L50"/>
    </row>
    <row r="51" spans="1:12">
      <c r="A51" s="9">
        <v>46</v>
      </c>
      <c r="B51" s="1" t="s">
        <v>1</v>
      </c>
      <c r="C51" s="41">
        <v>12</v>
      </c>
      <c r="E51" s="42" t="s">
        <v>69</v>
      </c>
      <c r="F51"/>
      <c r="G51"/>
      <c r="H51" s="31">
        <v>1220</v>
      </c>
      <c r="I51"/>
      <c r="J51"/>
      <c r="K51"/>
      <c r="L51"/>
    </row>
    <row r="52" spans="1:12">
      <c r="A52" s="9">
        <v>47</v>
      </c>
      <c r="B52" s="1" t="s">
        <v>1</v>
      </c>
      <c r="C52" s="41">
        <v>12</v>
      </c>
      <c r="E52" s="42" t="s">
        <v>69</v>
      </c>
      <c r="F52"/>
      <c r="G52"/>
      <c r="H52" s="31">
        <v>120</v>
      </c>
      <c r="I52"/>
      <c r="J52"/>
      <c r="K52"/>
      <c r="L52"/>
    </row>
    <row r="53" spans="1:12">
      <c r="A53" s="9">
        <v>48</v>
      </c>
      <c r="B53" s="1" t="s">
        <v>1</v>
      </c>
      <c r="C53" s="41">
        <v>12</v>
      </c>
      <c r="E53" s="42" t="s">
        <v>174</v>
      </c>
      <c r="F53"/>
      <c r="G53"/>
      <c r="H53" s="31">
        <v>800</v>
      </c>
      <c r="I53"/>
      <c r="J53"/>
      <c r="K53"/>
      <c r="L53"/>
    </row>
    <row r="54" spans="1:12">
      <c r="A54" s="9">
        <v>49</v>
      </c>
      <c r="B54" s="1" t="s">
        <v>1</v>
      </c>
      <c r="C54" s="41">
        <v>12</v>
      </c>
      <c r="E54" s="42" t="s">
        <v>143</v>
      </c>
      <c r="F54"/>
      <c r="G54"/>
      <c r="H54" s="31">
        <v>500</v>
      </c>
      <c r="I54"/>
      <c r="J54"/>
      <c r="K54"/>
      <c r="L54"/>
    </row>
    <row r="55" spans="1:12">
      <c r="A55" s="9">
        <v>50</v>
      </c>
      <c r="B55" s="1" t="s">
        <v>1</v>
      </c>
      <c r="C55" s="41">
        <v>12</v>
      </c>
      <c r="D55" s="1" t="s">
        <v>159</v>
      </c>
      <c r="E55" s="42" t="s">
        <v>161</v>
      </c>
      <c r="F55"/>
      <c r="G55"/>
      <c r="H55" s="31">
        <v>1500</v>
      </c>
      <c r="I55"/>
      <c r="J55"/>
      <c r="K55"/>
      <c r="L55"/>
    </row>
    <row r="56" spans="1:12">
      <c r="A56" s="9">
        <v>51</v>
      </c>
      <c r="B56" s="1" t="s">
        <v>1</v>
      </c>
      <c r="C56" s="41">
        <v>12</v>
      </c>
      <c r="E56" s="42" t="s">
        <v>175</v>
      </c>
      <c r="F56">
        <v>4</v>
      </c>
      <c r="G56">
        <v>300</v>
      </c>
      <c r="H56" s="31">
        <v>1200</v>
      </c>
      <c r="I56"/>
      <c r="J56"/>
      <c r="K56"/>
      <c r="L56"/>
    </row>
    <row r="57" spans="1:12">
      <c r="A57" s="9">
        <v>52</v>
      </c>
      <c r="B57" s="1" t="s">
        <v>1</v>
      </c>
      <c r="C57" s="41">
        <v>12</v>
      </c>
      <c r="E57" s="42" t="s">
        <v>176</v>
      </c>
      <c r="F57">
        <v>5</v>
      </c>
      <c r="G57">
        <v>350</v>
      </c>
      <c r="H57" s="31">
        <f>F57*G57</f>
        <v>1750</v>
      </c>
      <c r="I57"/>
      <c r="J57"/>
      <c r="K57"/>
      <c r="L57"/>
    </row>
    <row r="58" spans="1:12">
      <c r="A58" s="9">
        <v>53</v>
      </c>
      <c r="B58" s="1" t="s">
        <v>1</v>
      </c>
      <c r="C58" s="41">
        <v>12</v>
      </c>
      <c r="E58" s="42" t="s">
        <v>177</v>
      </c>
      <c r="F58"/>
      <c r="G58"/>
      <c r="H58" s="31">
        <v>340</v>
      </c>
      <c r="I58"/>
      <c r="J58"/>
      <c r="K58"/>
      <c r="L58"/>
    </row>
    <row r="59" spans="1:12">
      <c r="A59" s="9">
        <v>54</v>
      </c>
      <c r="B59" s="1" t="s">
        <v>1</v>
      </c>
      <c r="C59" s="41">
        <v>12</v>
      </c>
      <c r="E59" s="42" t="s">
        <v>140</v>
      </c>
      <c r="F59">
        <v>1</v>
      </c>
      <c r="G59"/>
      <c r="H59" s="31">
        <v>1000</v>
      </c>
      <c r="I59"/>
      <c r="J59"/>
      <c r="K59"/>
      <c r="L59"/>
    </row>
    <row r="60" spans="1:12">
      <c r="A60" s="9">
        <v>55</v>
      </c>
      <c r="B60" s="1" t="s">
        <v>1</v>
      </c>
      <c r="C60" s="41">
        <v>12</v>
      </c>
      <c r="D60" s="1" t="s">
        <v>155</v>
      </c>
      <c r="E60" s="42" t="s">
        <v>157</v>
      </c>
      <c r="F60">
        <v>25</v>
      </c>
      <c r="G60"/>
      <c r="H60" s="31">
        <v>3400</v>
      </c>
      <c r="I60" t="s">
        <v>28</v>
      </c>
      <c r="J60"/>
      <c r="K60"/>
      <c r="L60"/>
    </row>
    <row r="61" spans="1:12">
      <c r="A61" s="9">
        <v>57</v>
      </c>
      <c r="B61" s="1" t="s">
        <v>1</v>
      </c>
      <c r="C61" s="41">
        <v>13</v>
      </c>
      <c r="E61" s="42" t="s">
        <v>178</v>
      </c>
      <c r="F61"/>
      <c r="G61"/>
      <c r="H61" s="31">
        <v>12000</v>
      </c>
      <c r="I61"/>
      <c r="J61"/>
      <c r="K61"/>
      <c r="L61"/>
    </row>
    <row r="62" spans="1:12">
      <c r="A62" s="9">
        <v>58</v>
      </c>
      <c r="B62" s="1" t="s">
        <v>1</v>
      </c>
      <c r="C62" s="41">
        <v>13</v>
      </c>
      <c r="E62" s="42" t="s">
        <v>179</v>
      </c>
      <c r="F62"/>
      <c r="G62"/>
      <c r="H62" s="31">
        <v>13650</v>
      </c>
      <c r="I62"/>
      <c r="J62"/>
      <c r="K62"/>
      <c r="L62"/>
    </row>
    <row r="63" spans="1:12">
      <c r="A63" s="9">
        <v>59</v>
      </c>
      <c r="B63" s="1" t="s">
        <v>1</v>
      </c>
      <c r="C63" s="41">
        <v>13</v>
      </c>
      <c r="D63" s="1" t="s">
        <v>159</v>
      </c>
      <c r="E63" s="42" t="s">
        <v>170</v>
      </c>
      <c r="F63"/>
      <c r="G63"/>
      <c r="H63" s="59">
        <v>1765</v>
      </c>
      <c r="I63"/>
      <c r="J63"/>
      <c r="K63"/>
      <c r="L63"/>
    </row>
    <row r="64" spans="1:12">
      <c r="A64" s="9">
        <v>64</v>
      </c>
      <c r="B64" s="1" t="s">
        <v>1</v>
      </c>
      <c r="C64" s="41">
        <v>13</v>
      </c>
      <c r="D64" s="1" t="s">
        <v>159</v>
      </c>
      <c r="E64" s="42" t="s">
        <v>161</v>
      </c>
      <c r="F64"/>
      <c r="G64"/>
      <c r="H64" s="31">
        <v>1850</v>
      </c>
      <c r="I64"/>
      <c r="J64"/>
      <c r="K64"/>
      <c r="L64"/>
    </row>
    <row r="65" spans="1:12">
      <c r="A65" s="9">
        <v>67</v>
      </c>
      <c r="B65" s="1" t="s">
        <v>1</v>
      </c>
      <c r="C65" s="41">
        <v>15</v>
      </c>
      <c r="E65" s="42" t="s">
        <v>158</v>
      </c>
      <c r="F65">
        <v>1</v>
      </c>
      <c r="G65"/>
      <c r="H65" s="31">
        <v>1000</v>
      </c>
      <c r="I65"/>
      <c r="J65"/>
      <c r="K65"/>
      <c r="L65"/>
    </row>
    <row r="66" spans="1:12">
      <c r="A66" s="9">
        <v>68</v>
      </c>
      <c r="B66" s="1" t="s">
        <v>1</v>
      </c>
      <c r="C66" s="41">
        <v>15</v>
      </c>
      <c r="E66" s="42" t="s">
        <v>180</v>
      </c>
      <c r="F66">
        <v>3</v>
      </c>
      <c r="G66"/>
      <c r="H66" s="31">
        <v>940</v>
      </c>
      <c r="I66"/>
      <c r="J66"/>
      <c r="K66"/>
      <c r="L66"/>
    </row>
    <row r="67" spans="1:12">
      <c r="A67" s="9">
        <v>69</v>
      </c>
      <c r="B67" s="1" t="s">
        <v>1</v>
      </c>
      <c r="C67" s="41">
        <v>15</v>
      </c>
      <c r="E67" s="42" t="s">
        <v>181</v>
      </c>
      <c r="F67">
        <v>1</v>
      </c>
      <c r="G67"/>
      <c r="H67" s="31">
        <v>15000</v>
      </c>
      <c r="I67"/>
      <c r="J67"/>
      <c r="K67"/>
      <c r="L67"/>
    </row>
    <row r="68" spans="1:12">
      <c r="A68" s="9">
        <v>70</v>
      </c>
      <c r="B68" s="1" t="s">
        <v>1</v>
      </c>
      <c r="C68" s="41">
        <v>15</v>
      </c>
      <c r="E68" s="42" t="s">
        <v>182</v>
      </c>
      <c r="F68">
        <v>1</v>
      </c>
      <c r="G68"/>
      <c r="H68" s="31">
        <v>500</v>
      </c>
      <c r="I68"/>
      <c r="J68"/>
      <c r="K68"/>
      <c r="L68"/>
    </row>
    <row r="69" spans="1:12">
      <c r="A69" s="9">
        <v>71</v>
      </c>
      <c r="B69" s="1" t="s">
        <v>1</v>
      </c>
      <c r="C69" s="41">
        <v>15</v>
      </c>
      <c r="D69" s="1" t="s">
        <v>159</v>
      </c>
      <c r="E69" s="42" t="s">
        <v>183</v>
      </c>
      <c r="F69"/>
      <c r="G69"/>
      <c r="H69" s="31">
        <v>200</v>
      </c>
      <c r="I69"/>
      <c r="J69"/>
      <c r="K69"/>
      <c r="L69"/>
    </row>
    <row r="70" spans="1:12">
      <c r="A70" s="9">
        <v>72</v>
      </c>
      <c r="B70" s="1" t="s">
        <v>1</v>
      </c>
      <c r="C70" s="41">
        <v>15</v>
      </c>
      <c r="D70" s="1" t="s">
        <v>159</v>
      </c>
      <c r="E70" s="42" t="s">
        <v>160</v>
      </c>
      <c r="F70"/>
      <c r="G70"/>
      <c r="H70" s="31">
        <v>7000</v>
      </c>
      <c r="I70"/>
      <c r="J70"/>
      <c r="K70"/>
      <c r="L70"/>
    </row>
    <row r="71" spans="1:12">
      <c r="A71" s="9">
        <v>73</v>
      </c>
      <c r="B71" s="1" t="s">
        <v>1</v>
      </c>
      <c r="C71" s="41">
        <v>15</v>
      </c>
      <c r="D71" s="1" t="s">
        <v>159</v>
      </c>
      <c r="E71" s="42" t="s">
        <v>184</v>
      </c>
      <c r="F71"/>
      <c r="G71"/>
      <c r="H71" s="31">
        <v>6000</v>
      </c>
      <c r="I71"/>
      <c r="J71"/>
      <c r="K71"/>
      <c r="L71"/>
    </row>
    <row r="72" spans="1:12">
      <c r="A72" s="9">
        <v>74</v>
      </c>
      <c r="B72" s="1" t="s">
        <v>1</v>
      </c>
      <c r="C72" s="41">
        <v>15</v>
      </c>
      <c r="E72" s="42" t="s">
        <v>185</v>
      </c>
      <c r="F72"/>
      <c r="G72"/>
      <c r="H72" s="31">
        <v>1000</v>
      </c>
      <c r="I72"/>
      <c r="J72"/>
      <c r="K72"/>
      <c r="L72"/>
    </row>
    <row r="73" spans="1:12">
      <c r="A73" s="9">
        <v>75</v>
      </c>
      <c r="B73" s="1" t="s">
        <v>1</v>
      </c>
      <c r="C73" s="41">
        <v>15</v>
      </c>
      <c r="D73" s="1" t="s">
        <v>155</v>
      </c>
      <c r="E73" s="42" t="s">
        <v>157</v>
      </c>
      <c r="F73"/>
      <c r="G73"/>
      <c r="H73" s="31">
        <v>3400</v>
      </c>
      <c r="I73"/>
      <c r="J73"/>
      <c r="K73"/>
      <c r="L73"/>
    </row>
    <row r="74" spans="1:12">
      <c r="A74" s="9">
        <v>76</v>
      </c>
      <c r="B74" s="1" t="s">
        <v>1</v>
      </c>
      <c r="C74" s="41">
        <v>15</v>
      </c>
      <c r="E74" s="42" t="s">
        <v>186</v>
      </c>
      <c r="F74">
        <v>20</v>
      </c>
      <c r="G74">
        <v>20</v>
      </c>
      <c r="H74" s="31">
        <f>F74*G74</f>
        <v>400</v>
      </c>
      <c r="I74" t="s">
        <v>83</v>
      </c>
      <c r="J74"/>
      <c r="K74"/>
      <c r="L74"/>
    </row>
    <row r="75" spans="1:12">
      <c r="A75" s="9">
        <v>77</v>
      </c>
      <c r="B75" s="1" t="s">
        <v>1</v>
      </c>
      <c r="C75" s="41">
        <v>15</v>
      </c>
      <c r="E75" s="42" t="s">
        <v>187</v>
      </c>
      <c r="F75">
        <v>1</v>
      </c>
      <c r="G75"/>
      <c r="H75" s="31">
        <v>780</v>
      </c>
      <c r="I75" t="s">
        <v>83</v>
      </c>
      <c r="J75"/>
      <c r="K75"/>
      <c r="L75"/>
    </row>
    <row r="76" spans="1:12">
      <c r="A76" s="9">
        <v>78</v>
      </c>
      <c r="B76" s="1" t="s">
        <v>1</v>
      </c>
      <c r="C76" s="41">
        <v>15</v>
      </c>
      <c r="E76" s="42" t="s">
        <v>188</v>
      </c>
      <c r="F76">
        <v>1</v>
      </c>
      <c r="G76"/>
      <c r="H76" s="31">
        <v>350</v>
      </c>
      <c r="I76" t="s">
        <v>83</v>
      </c>
      <c r="J76"/>
      <c r="K76"/>
      <c r="L76"/>
    </row>
    <row r="77" spans="1:12">
      <c r="A77" s="9">
        <v>79</v>
      </c>
      <c r="B77" s="1" t="s">
        <v>1</v>
      </c>
      <c r="C77" s="41">
        <v>15</v>
      </c>
      <c r="E77" s="42" t="s">
        <v>189</v>
      </c>
      <c r="F77">
        <v>200</v>
      </c>
      <c r="G77"/>
      <c r="H77" s="31">
        <v>1200</v>
      </c>
      <c r="I77" t="s">
        <v>83</v>
      </c>
      <c r="J77"/>
      <c r="K77"/>
      <c r="L77"/>
    </row>
    <row r="78" spans="1:12">
      <c r="A78" s="9">
        <v>80</v>
      </c>
      <c r="B78" s="1" t="s">
        <v>1</v>
      </c>
      <c r="C78" s="41">
        <v>15</v>
      </c>
      <c r="E78" s="42" t="s">
        <v>190</v>
      </c>
      <c r="F78">
        <v>73</v>
      </c>
      <c r="G78">
        <v>26</v>
      </c>
      <c r="H78" s="31">
        <f t="shared" ref="H78:H83" si="1">F78*G78</f>
        <v>1898</v>
      </c>
      <c r="I78" t="s">
        <v>83</v>
      </c>
      <c r="J78"/>
      <c r="K78"/>
      <c r="L78"/>
    </row>
    <row r="79" spans="1:12">
      <c r="A79" s="9">
        <v>81</v>
      </c>
      <c r="B79" s="1" t="s">
        <v>1</v>
      </c>
      <c r="C79" s="41">
        <v>15</v>
      </c>
      <c r="D79" s="1" t="s">
        <v>191</v>
      </c>
      <c r="E79" s="42" t="s">
        <v>192</v>
      </c>
      <c r="F79">
        <v>8</v>
      </c>
      <c r="G79">
        <v>650</v>
      </c>
      <c r="H79" s="31">
        <f t="shared" si="1"/>
        <v>5200</v>
      </c>
      <c r="I79" t="s">
        <v>83</v>
      </c>
      <c r="J79"/>
      <c r="K79"/>
      <c r="L79"/>
    </row>
    <row r="80" spans="1:12">
      <c r="A80" s="9">
        <v>82</v>
      </c>
      <c r="B80" s="1" t="s">
        <v>1</v>
      </c>
      <c r="C80" s="41">
        <v>15</v>
      </c>
      <c r="D80" s="1" t="s">
        <v>191</v>
      </c>
      <c r="E80" s="42" t="s">
        <v>193</v>
      </c>
      <c r="F80">
        <v>4</v>
      </c>
      <c r="G80">
        <v>520</v>
      </c>
      <c r="H80" s="31">
        <f t="shared" si="1"/>
        <v>2080</v>
      </c>
      <c r="I80" t="s">
        <v>83</v>
      </c>
      <c r="J80"/>
      <c r="K80"/>
      <c r="L80"/>
    </row>
    <row r="81" spans="1:12">
      <c r="A81" s="9">
        <v>83</v>
      </c>
      <c r="B81" s="1" t="s">
        <v>1</v>
      </c>
      <c r="C81" s="41">
        <v>15</v>
      </c>
      <c r="D81" s="1" t="s">
        <v>191</v>
      </c>
      <c r="E81" s="42" t="s">
        <v>194</v>
      </c>
      <c r="F81">
        <v>25</v>
      </c>
      <c r="G81">
        <v>37</v>
      </c>
      <c r="H81" s="31">
        <f t="shared" si="1"/>
        <v>925</v>
      </c>
      <c r="I81" t="s">
        <v>83</v>
      </c>
      <c r="J81"/>
      <c r="K81"/>
      <c r="L81"/>
    </row>
    <row r="82" spans="1:12">
      <c r="A82" s="9">
        <v>84</v>
      </c>
      <c r="B82" s="1" t="s">
        <v>1</v>
      </c>
      <c r="C82" s="41">
        <v>15</v>
      </c>
      <c r="E82" s="42" t="s">
        <v>195</v>
      </c>
      <c r="F82">
        <v>7</v>
      </c>
      <c r="G82">
        <v>90</v>
      </c>
      <c r="H82" s="31">
        <f t="shared" si="1"/>
        <v>630</v>
      </c>
      <c r="I82" t="s">
        <v>83</v>
      </c>
      <c r="J82"/>
      <c r="K82"/>
      <c r="L82"/>
    </row>
    <row r="83" spans="1:12">
      <c r="A83" s="9">
        <v>85</v>
      </c>
      <c r="B83" s="1" t="s">
        <v>1</v>
      </c>
      <c r="C83" s="41">
        <v>15</v>
      </c>
      <c r="E83" s="42" t="s">
        <v>196</v>
      </c>
      <c r="F83">
        <v>1</v>
      </c>
      <c r="G83">
        <v>30</v>
      </c>
      <c r="H83" s="31">
        <f t="shared" si="1"/>
        <v>30</v>
      </c>
      <c r="I83" t="s">
        <v>83</v>
      </c>
      <c r="J83"/>
    </row>
    <row r="84" spans="1:12">
      <c r="A84" s="9">
        <v>86</v>
      </c>
      <c r="B84" s="1" t="s">
        <v>1</v>
      </c>
      <c r="C84" s="41">
        <v>15</v>
      </c>
      <c r="D84" s="1" t="s">
        <v>191</v>
      </c>
      <c r="E84" s="42" t="s">
        <v>197</v>
      </c>
      <c r="F84"/>
      <c r="G84"/>
      <c r="H84" s="31">
        <v>3290</v>
      </c>
      <c r="I84" t="s">
        <v>83</v>
      </c>
      <c r="J84"/>
    </row>
    <row r="85" spans="1:12">
      <c r="A85" s="9">
        <v>87</v>
      </c>
      <c r="B85" s="1" t="s">
        <v>1</v>
      </c>
      <c r="C85" s="41">
        <v>15</v>
      </c>
      <c r="E85" s="42" t="s">
        <v>198</v>
      </c>
      <c r="F85">
        <v>7</v>
      </c>
      <c r="G85">
        <v>550</v>
      </c>
      <c r="H85" s="31">
        <f t="shared" ref="H85:H92" si="2">F85*G85</f>
        <v>3850</v>
      </c>
      <c r="I85" t="s">
        <v>83</v>
      </c>
      <c r="J85"/>
    </row>
    <row r="86" spans="1:12">
      <c r="A86" s="9">
        <v>88</v>
      </c>
      <c r="B86" s="1" t="s">
        <v>1</v>
      </c>
      <c r="C86" s="41">
        <v>15</v>
      </c>
      <c r="E86" s="42" t="s">
        <v>199</v>
      </c>
      <c r="F86">
        <v>7</v>
      </c>
      <c r="G86">
        <v>300</v>
      </c>
      <c r="H86" s="31">
        <f t="shared" si="2"/>
        <v>2100</v>
      </c>
      <c r="I86" t="s">
        <v>83</v>
      </c>
      <c r="J86"/>
    </row>
    <row r="87" spans="1:12">
      <c r="A87" s="9">
        <v>89</v>
      </c>
      <c r="B87" s="1" t="s">
        <v>1</v>
      </c>
      <c r="C87" s="41">
        <v>15</v>
      </c>
      <c r="D87" s="1" t="s">
        <v>191</v>
      </c>
      <c r="E87" s="42" t="s">
        <v>200</v>
      </c>
      <c r="F87">
        <v>15</v>
      </c>
      <c r="G87">
        <v>130</v>
      </c>
      <c r="H87" s="31">
        <f t="shared" si="2"/>
        <v>1950</v>
      </c>
      <c r="I87" t="s">
        <v>83</v>
      </c>
      <c r="J87"/>
    </row>
    <row r="88" spans="1:12">
      <c r="A88" s="9">
        <v>90</v>
      </c>
      <c r="B88" s="1" t="s">
        <v>1</v>
      </c>
      <c r="C88" s="41">
        <v>15</v>
      </c>
      <c r="D88" s="1" t="s">
        <v>191</v>
      </c>
      <c r="E88" s="42" t="s">
        <v>200</v>
      </c>
      <c r="F88">
        <v>1</v>
      </c>
      <c r="G88">
        <v>280</v>
      </c>
      <c r="H88" s="31">
        <f t="shared" si="2"/>
        <v>280</v>
      </c>
      <c r="I88" t="s">
        <v>83</v>
      </c>
      <c r="J88"/>
      <c r="L88"/>
    </row>
    <row r="89" spans="1:12">
      <c r="A89" s="9">
        <v>91</v>
      </c>
      <c r="B89" s="1" t="s">
        <v>1</v>
      </c>
      <c r="C89" s="41">
        <v>15</v>
      </c>
      <c r="D89" s="1" t="s">
        <v>155</v>
      </c>
      <c r="E89" s="42" t="s">
        <v>201</v>
      </c>
      <c r="F89">
        <v>14</v>
      </c>
      <c r="G89">
        <v>3700</v>
      </c>
      <c r="H89" s="83">
        <f t="shared" si="2"/>
        <v>51800</v>
      </c>
      <c r="I89" t="s">
        <v>83</v>
      </c>
      <c r="J89"/>
      <c r="L89"/>
    </row>
    <row r="90" spans="1:12">
      <c r="A90" s="9">
        <v>92</v>
      </c>
      <c r="B90" s="1" t="s">
        <v>1</v>
      </c>
      <c r="C90" s="41">
        <v>15</v>
      </c>
      <c r="D90" s="1" t="s">
        <v>155</v>
      </c>
      <c r="E90" s="42" t="s">
        <v>202</v>
      </c>
      <c r="F90">
        <v>6</v>
      </c>
      <c r="G90">
        <v>400</v>
      </c>
      <c r="H90" s="31">
        <f t="shared" si="2"/>
        <v>2400</v>
      </c>
      <c r="I90" t="s">
        <v>83</v>
      </c>
      <c r="J90"/>
    </row>
    <row r="91" spans="1:12">
      <c r="A91" s="9">
        <v>93</v>
      </c>
      <c r="B91" s="1" t="s">
        <v>1</v>
      </c>
      <c r="C91" s="41">
        <v>15</v>
      </c>
      <c r="E91" s="42" t="s">
        <v>203</v>
      </c>
      <c r="F91">
        <v>24</v>
      </c>
      <c r="G91">
        <v>50</v>
      </c>
      <c r="H91" s="31">
        <f t="shared" si="2"/>
        <v>1200</v>
      </c>
      <c r="I91" t="s">
        <v>83</v>
      </c>
      <c r="J91"/>
    </row>
    <row r="92" spans="1:12">
      <c r="A92" s="9">
        <v>94</v>
      </c>
      <c r="B92" s="1" t="s">
        <v>1</v>
      </c>
      <c r="C92" s="41">
        <v>15</v>
      </c>
      <c r="E92" s="42" t="s">
        <v>204</v>
      </c>
      <c r="F92">
        <v>24</v>
      </c>
      <c r="G92">
        <v>50</v>
      </c>
      <c r="H92" s="31">
        <f t="shared" si="2"/>
        <v>1200</v>
      </c>
      <c r="I92" t="s">
        <v>83</v>
      </c>
      <c r="J92"/>
    </row>
    <row r="93" spans="1:12">
      <c r="A93" s="9">
        <v>95</v>
      </c>
      <c r="B93" s="1" t="s">
        <v>1</v>
      </c>
      <c r="C93" s="41">
        <v>15</v>
      </c>
      <c r="E93" s="42" t="s">
        <v>205</v>
      </c>
      <c r="F93"/>
      <c r="G93"/>
      <c r="H93" s="31">
        <v>5425</v>
      </c>
      <c r="I93" t="s">
        <v>83</v>
      </c>
      <c r="J93"/>
    </row>
    <row r="94" spans="1:12">
      <c r="A94" s="9">
        <v>96</v>
      </c>
      <c r="B94" s="1" t="s">
        <v>1</v>
      </c>
      <c r="C94" s="41">
        <v>15</v>
      </c>
      <c r="E94" s="42" t="s">
        <v>206</v>
      </c>
      <c r="F94"/>
      <c r="G94"/>
      <c r="H94" s="31">
        <v>3070</v>
      </c>
      <c r="I94" t="s">
        <v>83</v>
      </c>
      <c r="J94"/>
    </row>
    <row r="95" spans="1:12">
      <c r="A95" s="9">
        <v>97</v>
      </c>
      <c r="B95" s="1" t="s">
        <v>1</v>
      </c>
      <c r="C95" s="41">
        <v>15</v>
      </c>
      <c r="E95" s="42" t="s">
        <v>207</v>
      </c>
      <c r="G95"/>
      <c r="H95">
        <v>2520</v>
      </c>
      <c r="I95" t="s">
        <v>83</v>
      </c>
      <c r="J95"/>
    </row>
    <row r="96" spans="1:12">
      <c r="A96" s="9">
        <v>98</v>
      </c>
      <c r="B96" s="1" t="s">
        <v>1</v>
      </c>
      <c r="C96" s="41">
        <v>15</v>
      </c>
      <c r="E96" s="42" t="s">
        <v>208</v>
      </c>
      <c r="F96"/>
      <c r="G96"/>
      <c r="H96" s="31">
        <v>1896</v>
      </c>
      <c r="I96" t="s">
        <v>83</v>
      </c>
      <c r="J96"/>
    </row>
    <row r="97" spans="1:12">
      <c r="A97" s="9">
        <v>99</v>
      </c>
      <c r="B97" s="1" t="s">
        <v>1</v>
      </c>
      <c r="C97" s="41">
        <v>15</v>
      </c>
      <c r="E97" s="42" t="s">
        <v>209</v>
      </c>
      <c r="F97"/>
      <c r="G97"/>
      <c r="H97" s="31">
        <v>1680</v>
      </c>
      <c r="I97" t="s">
        <v>83</v>
      </c>
      <c r="J97"/>
    </row>
    <row r="98" spans="1:12">
      <c r="A98" s="9">
        <v>100</v>
      </c>
      <c r="B98" s="1" t="s">
        <v>1</v>
      </c>
      <c r="C98" s="41">
        <v>15</v>
      </c>
      <c r="E98" s="42" t="s">
        <v>210</v>
      </c>
      <c r="F98"/>
      <c r="G98"/>
      <c r="H98" s="31">
        <v>340</v>
      </c>
      <c r="I98" t="s">
        <v>83</v>
      </c>
      <c r="J98"/>
    </row>
    <row r="99" spans="1:12">
      <c r="A99" s="9">
        <v>101</v>
      </c>
      <c r="B99" s="1" t="s">
        <v>1</v>
      </c>
      <c r="C99" s="41">
        <v>15</v>
      </c>
      <c r="E99" s="42" t="s">
        <v>211</v>
      </c>
      <c r="F99"/>
      <c r="G99"/>
      <c r="H99" s="31">
        <v>480</v>
      </c>
      <c r="I99" t="s">
        <v>83</v>
      </c>
      <c r="J99"/>
      <c r="K99"/>
      <c r="L99"/>
    </row>
    <row r="100" spans="1:12">
      <c r="A100" s="9">
        <v>102</v>
      </c>
      <c r="B100" s="1" t="s">
        <v>1</v>
      </c>
      <c r="C100" s="41">
        <v>15</v>
      </c>
      <c r="E100" s="42" t="s">
        <v>212</v>
      </c>
      <c r="F100"/>
      <c r="G100"/>
      <c r="H100" s="31">
        <v>980</v>
      </c>
      <c r="I100" t="s">
        <v>83</v>
      </c>
      <c r="J100"/>
      <c r="K100"/>
      <c r="L100"/>
    </row>
    <row r="101" spans="1:12">
      <c r="A101" s="9">
        <v>103</v>
      </c>
      <c r="B101" s="1" t="s">
        <v>1</v>
      </c>
      <c r="C101" s="41">
        <v>15</v>
      </c>
      <c r="E101" s="42" t="s">
        <v>213</v>
      </c>
      <c r="F101">
        <v>12</v>
      </c>
      <c r="G101">
        <v>150</v>
      </c>
      <c r="H101" s="31">
        <f>F101*G101</f>
        <v>1800</v>
      </c>
      <c r="I101" t="s">
        <v>83</v>
      </c>
      <c r="J101"/>
      <c r="K101"/>
      <c r="L101"/>
    </row>
    <row r="102" spans="1:12">
      <c r="A102" s="9">
        <v>104</v>
      </c>
      <c r="B102" s="1" t="s">
        <v>1</v>
      </c>
      <c r="C102" s="41">
        <v>15</v>
      </c>
      <c r="E102" s="42" t="s">
        <v>213</v>
      </c>
      <c r="F102">
        <v>12</v>
      </c>
      <c r="G102">
        <v>200</v>
      </c>
      <c r="H102" s="31">
        <f>F102*G102</f>
        <v>2400</v>
      </c>
      <c r="I102" t="s">
        <v>83</v>
      </c>
      <c r="J102"/>
      <c r="K102"/>
      <c r="L102"/>
    </row>
    <row r="103" spans="1:12">
      <c r="A103" s="9">
        <v>105</v>
      </c>
      <c r="B103" s="1" t="s">
        <v>1</v>
      </c>
      <c r="C103" s="41">
        <v>15</v>
      </c>
      <c r="E103" s="42" t="s">
        <v>195</v>
      </c>
      <c r="F103">
        <v>24</v>
      </c>
      <c r="G103"/>
      <c r="H103" s="31">
        <v>1920</v>
      </c>
      <c r="I103" t="s">
        <v>83</v>
      </c>
      <c r="J103"/>
      <c r="K103"/>
      <c r="L103"/>
    </row>
    <row r="104" spans="1:12">
      <c r="A104" s="9">
        <v>106</v>
      </c>
      <c r="B104" s="1" t="s">
        <v>1</v>
      </c>
      <c r="C104" s="41">
        <v>15</v>
      </c>
      <c r="E104" s="42" t="s">
        <v>214</v>
      </c>
      <c r="F104">
        <v>12</v>
      </c>
      <c r="G104"/>
      <c r="H104" s="59">
        <v>380</v>
      </c>
      <c r="I104" t="s">
        <v>83</v>
      </c>
      <c r="J104"/>
      <c r="K104"/>
      <c r="L104"/>
    </row>
    <row r="105" spans="1:12">
      <c r="A105" s="9">
        <v>107</v>
      </c>
      <c r="B105" s="1" t="s">
        <v>1</v>
      </c>
      <c r="C105" s="41">
        <v>15</v>
      </c>
      <c r="E105" s="42" t="s">
        <v>214</v>
      </c>
      <c r="F105">
        <v>12</v>
      </c>
      <c r="H105">
        <v>280</v>
      </c>
      <c r="I105" t="s">
        <v>83</v>
      </c>
      <c r="J105"/>
      <c r="K105"/>
      <c r="L105"/>
    </row>
    <row r="106" spans="1:12">
      <c r="A106" s="9">
        <v>108</v>
      </c>
      <c r="B106" s="1" t="s">
        <v>1</v>
      </c>
      <c r="C106" s="41">
        <v>15</v>
      </c>
      <c r="E106" s="42" t="s">
        <v>215</v>
      </c>
      <c r="F106">
        <v>5</v>
      </c>
      <c r="G106">
        <v>450</v>
      </c>
      <c r="H106" s="31">
        <f>F106*G106</f>
        <v>2250</v>
      </c>
      <c r="I106" t="s">
        <v>83</v>
      </c>
      <c r="J106"/>
      <c r="K106"/>
      <c r="L106"/>
    </row>
    <row r="107" spans="1:12">
      <c r="A107" s="9">
        <v>109</v>
      </c>
      <c r="B107" s="1" t="s">
        <v>1</v>
      </c>
      <c r="C107" s="41">
        <v>15</v>
      </c>
      <c r="E107" s="42" t="s">
        <v>216</v>
      </c>
      <c r="F107">
        <v>4</v>
      </c>
      <c r="G107"/>
      <c r="H107" s="31">
        <v>1680</v>
      </c>
      <c r="I107" t="s">
        <v>83</v>
      </c>
      <c r="J107"/>
      <c r="K107"/>
      <c r="L107"/>
    </row>
    <row r="108" spans="1:12">
      <c r="A108" s="9">
        <v>110</v>
      </c>
      <c r="B108" s="1" t="s">
        <v>1</v>
      </c>
      <c r="C108" s="41">
        <v>15</v>
      </c>
      <c r="E108" s="42" t="s">
        <v>217</v>
      </c>
      <c r="F108">
        <v>2</v>
      </c>
      <c r="G108"/>
      <c r="H108" s="31">
        <v>380</v>
      </c>
      <c r="I108" t="s">
        <v>83</v>
      </c>
      <c r="J108"/>
      <c r="K108"/>
      <c r="L108"/>
    </row>
    <row r="109" spans="1:12">
      <c r="A109" s="9">
        <v>111</v>
      </c>
      <c r="B109" s="1" t="s">
        <v>1</v>
      </c>
      <c r="C109" s="41">
        <v>15</v>
      </c>
      <c r="E109" s="42" t="s">
        <v>218</v>
      </c>
      <c r="F109">
        <v>56</v>
      </c>
      <c r="G109"/>
      <c r="H109" s="31">
        <v>11210</v>
      </c>
      <c r="I109" t="s">
        <v>83</v>
      </c>
      <c r="J109"/>
      <c r="K109"/>
      <c r="L109"/>
    </row>
    <row r="110" spans="1:12">
      <c r="A110" s="9">
        <v>112</v>
      </c>
      <c r="B110" s="1" t="s">
        <v>1</v>
      </c>
      <c r="C110" s="41">
        <v>15</v>
      </c>
      <c r="E110" s="42" t="s">
        <v>219</v>
      </c>
      <c r="F110">
        <v>4</v>
      </c>
      <c r="G110"/>
      <c r="H110" s="31">
        <v>2200</v>
      </c>
      <c r="I110" t="s">
        <v>83</v>
      </c>
      <c r="J110"/>
      <c r="K110"/>
      <c r="L110"/>
    </row>
    <row r="111" spans="1:12">
      <c r="A111" s="9">
        <v>113</v>
      </c>
      <c r="B111" s="1" t="s">
        <v>1</v>
      </c>
      <c r="C111" s="41">
        <v>15</v>
      </c>
      <c r="E111" s="42" t="s">
        <v>220</v>
      </c>
      <c r="F111"/>
      <c r="G111"/>
      <c r="H111" s="31">
        <v>640</v>
      </c>
      <c r="I111" t="s">
        <v>83</v>
      </c>
      <c r="J111"/>
      <c r="K111"/>
      <c r="L111"/>
    </row>
    <row r="112" spans="1:12">
      <c r="A112" s="9">
        <v>114</v>
      </c>
      <c r="B112" s="1" t="s">
        <v>1</v>
      </c>
      <c r="C112" s="41">
        <v>15</v>
      </c>
      <c r="E112" s="42" t="s">
        <v>221</v>
      </c>
      <c r="F112"/>
      <c r="G112"/>
      <c r="H112" s="31">
        <v>2640</v>
      </c>
      <c r="I112" t="s">
        <v>83</v>
      </c>
      <c r="J112"/>
      <c r="K112"/>
      <c r="L112"/>
    </row>
    <row r="113" spans="1:12">
      <c r="A113" s="9">
        <v>115</v>
      </c>
      <c r="B113" s="1" t="s">
        <v>1</v>
      </c>
      <c r="C113" s="41">
        <v>15</v>
      </c>
      <c r="E113" s="42" t="s">
        <v>222</v>
      </c>
      <c r="F113">
        <v>3</v>
      </c>
      <c r="G113"/>
      <c r="H113" s="31">
        <v>300</v>
      </c>
      <c r="I113" t="s">
        <v>83</v>
      </c>
      <c r="J113"/>
      <c r="K113"/>
      <c r="L113"/>
    </row>
    <row r="114" spans="1:12">
      <c r="A114" s="9">
        <v>116</v>
      </c>
      <c r="B114" s="1" t="s">
        <v>1</v>
      </c>
      <c r="C114" s="41">
        <v>15</v>
      </c>
      <c r="E114" s="42" t="s">
        <v>223</v>
      </c>
      <c r="F114">
        <v>1</v>
      </c>
      <c r="G114"/>
      <c r="H114" s="31">
        <v>160</v>
      </c>
      <c r="I114" t="s">
        <v>83</v>
      </c>
      <c r="J114"/>
      <c r="K114"/>
      <c r="L114"/>
    </row>
    <row r="115" spans="1:12">
      <c r="A115" s="9">
        <v>117</v>
      </c>
      <c r="B115" s="1" t="s">
        <v>1</v>
      </c>
      <c r="C115" s="41">
        <v>15</v>
      </c>
      <c r="E115" s="42" t="s">
        <v>224</v>
      </c>
      <c r="F115"/>
      <c r="G115"/>
      <c r="H115" s="31">
        <v>400</v>
      </c>
      <c r="I115" t="s">
        <v>83</v>
      </c>
      <c r="J115"/>
      <c r="K115"/>
      <c r="L115"/>
    </row>
    <row r="116" spans="1:12">
      <c r="A116" s="9">
        <v>118</v>
      </c>
      <c r="B116" s="1" t="s">
        <v>1</v>
      </c>
      <c r="C116" s="41">
        <v>15</v>
      </c>
      <c r="E116" s="42" t="s">
        <v>225</v>
      </c>
      <c r="F116">
        <v>3</v>
      </c>
      <c r="G116">
        <v>1200</v>
      </c>
      <c r="H116" s="31">
        <f>F116*G116</f>
        <v>3600</v>
      </c>
      <c r="I116" t="s">
        <v>83</v>
      </c>
      <c r="J116"/>
      <c r="K116"/>
      <c r="L116"/>
    </row>
    <row r="117" spans="1:12" ht="15" customHeight="1">
      <c r="A117" s="9">
        <v>119</v>
      </c>
      <c r="B117" s="1" t="s">
        <v>1</v>
      </c>
      <c r="C117" s="41">
        <v>15</v>
      </c>
      <c r="E117" s="42" t="s">
        <v>226</v>
      </c>
      <c r="F117"/>
      <c r="G117"/>
      <c r="H117" s="31">
        <v>400</v>
      </c>
      <c r="I117" t="s">
        <v>83</v>
      </c>
      <c r="J117"/>
      <c r="K117"/>
      <c r="L117"/>
    </row>
    <row r="118" spans="1:12">
      <c r="A118" s="9">
        <v>120</v>
      </c>
      <c r="B118" s="1" t="s">
        <v>1</v>
      </c>
      <c r="C118" s="41">
        <v>15</v>
      </c>
      <c r="E118" s="42" t="s">
        <v>227</v>
      </c>
      <c r="F118">
        <v>82</v>
      </c>
      <c r="G118"/>
      <c r="H118" s="31">
        <v>5280</v>
      </c>
      <c r="I118" t="s">
        <v>83</v>
      </c>
      <c r="J118"/>
      <c r="K118"/>
      <c r="L118"/>
    </row>
    <row r="119" spans="1:12">
      <c r="A119" s="9">
        <v>121</v>
      </c>
      <c r="B119" s="1" t="s">
        <v>1</v>
      </c>
      <c r="C119" s="41">
        <v>15</v>
      </c>
      <c r="E119" s="42" t="s">
        <v>208</v>
      </c>
      <c r="F119"/>
      <c r="G119"/>
      <c r="H119" s="31">
        <v>780</v>
      </c>
      <c r="I119" t="s">
        <v>83</v>
      </c>
      <c r="J119"/>
      <c r="K119"/>
      <c r="L119"/>
    </row>
    <row r="120" spans="1:12">
      <c r="A120" s="9">
        <v>122</v>
      </c>
      <c r="B120" s="1" t="s">
        <v>1</v>
      </c>
      <c r="C120" s="41">
        <v>15</v>
      </c>
      <c r="E120" s="42" t="s">
        <v>228</v>
      </c>
      <c r="F120">
        <v>5</v>
      </c>
      <c r="G120"/>
      <c r="H120" s="31">
        <v>6590</v>
      </c>
      <c r="I120" t="s">
        <v>83</v>
      </c>
      <c r="J120"/>
      <c r="K120"/>
      <c r="L120"/>
    </row>
    <row r="121" spans="1:12">
      <c r="A121" s="9">
        <v>123</v>
      </c>
      <c r="B121" s="1" t="s">
        <v>1</v>
      </c>
      <c r="C121" s="41">
        <v>15</v>
      </c>
      <c r="D121" s="1" t="s">
        <v>191</v>
      </c>
      <c r="E121" s="42" t="s">
        <v>229</v>
      </c>
      <c r="F121"/>
      <c r="G121"/>
      <c r="H121" s="31">
        <v>18240</v>
      </c>
      <c r="I121" t="s">
        <v>83</v>
      </c>
      <c r="J121"/>
      <c r="K121"/>
      <c r="L121"/>
    </row>
    <row r="122" spans="1:12">
      <c r="A122" s="9">
        <v>124</v>
      </c>
      <c r="B122" s="1" t="s">
        <v>1</v>
      </c>
      <c r="C122" s="41">
        <v>15</v>
      </c>
      <c r="E122" s="42" t="s">
        <v>230</v>
      </c>
      <c r="F122"/>
      <c r="G122"/>
      <c r="H122" s="31">
        <v>3360</v>
      </c>
      <c r="I122" t="s">
        <v>83</v>
      </c>
      <c r="J122"/>
      <c r="K122"/>
      <c r="L122"/>
    </row>
    <row r="123" spans="1:12">
      <c r="A123" s="9">
        <v>125</v>
      </c>
      <c r="B123" s="1" t="s">
        <v>1</v>
      </c>
      <c r="C123" s="41">
        <v>15</v>
      </c>
      <c r="D123" s="1" t="s">
        <v>231</v>
      </c>
      <c r="E123" s="42" t="s">
        <v>232</v>
      </c>
      <c r="F123"/>
      <c r="G123"/>
      <c r="H123" s="31">
        <v>920</v>
      </c>
      <c r="I123" t="s">
        <v>89</v>
      </c>
      <c r="J123"/>
      <c r="K123"/>
      <c r="L123"/>
    </row>
    <row r="124" spans="1:12">
      <c r="A124" s="9">
        <v>127</v>
      </c>
      <c r="B124" s="1" t="s">
        <v>1</v>
      </c>
      <c r="C124" s="41">
        <v>15</v>
      </c>
      <c r="E124" s="42" t="s">
        <v>69</v>
      </c>
      <c r="F124"/>
      <c r="G124"/>
      <c r="H124" s="31">
        <v>80</v>
      </c>
      <c r="I124" t="s">
        <v>89</v>
      </c>
      <c r="J124"/>
      <c r="K124"/>
      <c r="L124"/>
    </row>
    <row r="125" spans="1:12">
      <c r="A125" s="9">
        <v>128</v>
      </c>
      <c r="B125" s="1" t="s">
        <v>1</v>
      </c>
      <c r="C125" s="41">
        <v>15</v>
      </c>
      <c r="E125" s="42" t="s">
        <v>233</v>
      </c>
      <c r="F125">
        <v>7</v>
      </c>
      <c r="G125">
        <v>572</v>
      </c>
      <c r="H125" s="31">
        <f t="shared" ref="H125:H130" si="3">F125*G125</f>
        <v>4004</v>
      </c>
      <c r="I125" t="s">
        <v>234</v>
      </c>
      <c r="J125"/>
      <c r="K125"/>
      <c r="L125"/>
    </row>
    <row r="126" spans="1:12">
      <c r="A126" s="9">
        <v>129</v>
      </c>
      <c r="B126" s="1" t="s">
        <v>1</v>
      </c>
      <c r="C126" s="41">
        <v>15</v>
      </c>
      <c r="E126" s="42" t="s">
        <v>235</v>
      </c>
      <c r="F126">
        <v>10</v>
      </c>
      <c r="G126">
        <v>310</v>
      </c>
      <c r="H126" s="31">
        <v>2800</v>
      </c>
      <c r="I126" t="s">
        <v>234</v>
      </c>
      <c r="J126"/>
      <c r="K126"/>
      <c r="L126"/>
    </row>
    <row r="127" spans="1:12">
      <c r="A127" s="9">
        <v>130</v>
      </c>
      <c r="B127" s="1" t="s">
        <v>1</v>
      </c>
      <c r="C127" s="41">
        <v>15</v>
      </c>
      <c r="E127" s="42" t="s">
        <v>236</v>
      </c>
      <c r="F127">
        <v>5</v>
      </c>
      <c r="G127">
        <v>164</v>
      </c>
      <c r="H127" s="31">
        <f t="shared" si="3"/>
        <v>820</v>
      </c>
      <c r="I127" t="s">
        <v>234</v>
      </c>
      <c r="J127"/>
      <c r="K127"/>
      <c r="L127"/>
    </row>
    <row r="128" spans="1:12">
      <c r="A128" s="9">
        <v>131</v>
      </c>
      <c r="B128" s="1" t="s">
        <v>1</v>
      </c>
      <c r="C128" s="41">
        <v>15</v>
      </c>
      <c r="E128" s="42" t="s">
        <v>237</v>
      </c>
      <c r="F128">
        <v>1</v>
      </c>
      <c r="G128">
        <v>500</v>
      </c>
      <c r="H128" s="31">
        <f t="shared" si="3"/>
        <v>500</v>
      </c>
      <c r="I128" t="s">
        <v>234</v>
      </c>
      <c r="J128"/>
      <c r="K128"/>
      <c r="L128"/>
    </row>
    <row r="129" spans="1:12">
      <c r="A129" s="9">
        <v>132</v>
      </c>
      <c r="B129" s="1" t="s">
        <v>1</v>
      </c>
      <c r="C129" s="41">
        <v>15</v>
      </c>
      <c r="E129" s="42" t="s">
        <v>238</v>
      </c>
      <c r="F129">
        <v>9</v>
      </c>
      <c r="G129">
        <v>100</v>
      </c>
      <c r="H129" s="31">
        <f t="shared" si="3"/>
        <v>900</v>
      </c>
      <c r="I129" t="s">
        <v>234</v>
      </c>
      <c r="J129"/>
      <c r="L129"/>
    </row>
    <row r="130" spans="1:12">
      <c r="A130" s="9">
        <v>133</v>
      </c>
      <c r="B130" s="1" t="s">
        <v>1</v>
      </c>
      <c r="C130" s="41">
        <v>15</v>
      </c>
      <c r="E130" s="42" t="s">
        <v>236</v>
      </c>
      <c r="F130">
        <v>5</v>
      </c>
      <c r="G130">
        <v>96</v>
      </c>
      <c r="H130" s="31">
        <f t="shared" si="3"/>
        <v>480</v>
      </c>
      <c r="I130" t="s">
        <v>234</v>
      </c>
      <c r="J130"/>
      <c r="K130"/>
      <c r="L130"/>
    </row>
    <row r="131" spans="1:12">
      <c r="A131" s="9">
        <v>134</v>
      </c>
      <c r="B131" s="1" t="s">
        <v>1</v>
      </c>
      <c r="C131" s="41">
        <v>15</v>
      </c>
      <c r="E131" s="42" t="s">
        <v>239</v>
      </c>
      <c r="F131"/>
      <c r="G131">
        <v>200</v>
      </c>
      <c r="H131" s="31">
        <v>200</v>
      </c>
      <c r="I131" t="s">
        <v>234</v>
      </c>
      <c r="J131"/>
      <c r="K131"/>
      <c r="L131"/>
    </row>
    <row r="132" spans="1:12">
      <c r="A132" s="9">
        <v>135</v>
      </c>
      <c r="B132" s="1" t="s">
        <v>1</v>
      </c>
      <c r="C132" s="41">
        <v>15</v>
      </c>
      <c r="E132" s="42" t="s">
        <v>228</v>
      </c>
      <c r="F132"/>
      <c r="G132"/>
      <c r="H132" s="31">
        <v>300</v>
      </c>
      <c r="I132" t="s">
        <v>234</v>
      </c>
      <c r="J132"/>
      <c r="K132"/>
      <c r="L132"/>
    </row>
    <row r="133" spans="1:12">
      <c r="A133" s="9">
        <v>136</v>
      </c>
      <c r="B133" s="1" t="s">
        <v>1</v>
      </c>
      <c r="C133" s="41">
        <v>15</v>
      </c>
      <c r="E133" s="42" t="s">
        <v>240</v>
      </c>
      <c r="F133">
        <v>5</v>
      </c>
      <c r="G133">
        <v>2350</v>
      </c>
      <c r="H133" s="31">
        <f t="shared" ref="H133:H161" si="4">F133*G133</f>
        <v>11750</v>
      </c>
      <c r="I133" t="s">
        <v>241</v>
      </c>
      <c r="J133"/>
      <c r="K133"/>
      <c r="L133"/>
    </row>
    <row r="134" spans="1:12">
      <c r="A134" s="9">
        <v>137</v>
      </c>
      <c r="B134" s="1" t="s">
        <v>1</v>
      </c>
      <c r="C134" s="41">
        <v>15</v>
      </c>
      <c r="E134" s="42" t="s">
        <v>69</v>
      </c>
      <c r="F134">
        <v>1</v>
      </c>
      <c r="G134">
        <v>240</v>
      </c>
      <c r="H134" s="31">
        <f t="shared" si="4"/>
        <v>240</v>
      </c>
      <c r="I134" t="s">
        <v>241</v>
      </c>
      <c r="J134"/>
      <c r="K134"/>
      <c r="L134"/>
    </row>
    <row r="135" spans="1:12">
      <c r="A135" s="9">
        <v>138</v>
      </c>
      <c r="B135" s="1" t="s">
        <v>1</v>
      </c>
      <c r="C135" s="41">
        <v>15</v>
      </c>
      <c r="E135" s="42" t="s">
        <v>140</v>
      </c>
      <c r="F135">
        <v>1</v>
      </c>
      <c r="G135">
        <v>200</v>
      </c>
      <c r="H135" s="31">
        <f t="shared" si="4"/>
        <v>200</v>
      </c>
      <c r="I135" t="s">
        <v>241</v>
      </c>
      <c r="J135"/>
      <c r="K135"/>
      <c r="L135"/>
    </row>
    <row r="136" spans="1:12">
      <c r="A136" s="9">
        <v>139</v>
      </c>
      <c r="B136" s="1" t="s">
        <v>1</v>
      </c>
      <c r="C136" s="41">
        <v>15</v>
      </c>
      <c r="E136" s="42" t="s">
        <v>242</v>
      </c>
      <c r="F136">
        <v>1</v>
      </c>
      <c r="G136">
        <v>500</v>
      </c>
      <c r="H136" s="31">
        <f t="shared" si="4"/>
        <v>500</v>
      </c>
      <c r="I136" t="s">
        <v>241</v>
      </c>
      <c r="J136"/>
      <c r="K136"/>
      <c r="L136"/>
    </row>
    <row r="137" spans="1:12">
      <c r="A137" s="9">
        <v>141</v>
      </c>
      <c r="B137" s="1" t="s">
        <v>1</v>
      </c>
      <c r="C137" s="41">
        <v>16</v>
      </c>
      <c r="E137" s="42" t="s">
        <v>243</v>
      </c>
      <c r="F137">
        <v>1</v>
      </c>
      <c r="G137">
        <v>510</v>
      </c>
      <c r="H137" s="31">
        <f t="shared" si="4"/>
        <v>510</v>
      </c>
      <c r="I137" t="s">
        <v>241</v>
      </c>
      <c r="J137"/>
      <c r="K137"/>
      <c r="L137"/>
    </row>
    <row r="138" spans="1:12">
      <c r="A138" s="9">
        <v>142</v>
      </c>
      <c r="B138" s="1" t="s">
        <v>1</v>
      </c>
      <c r="C138" s="41">
        <v>16</v>
      </c>
      <c r="D138" s="1" t="s">
        <v>159</v>
      </c>
      <c r="E138" s="42" t="s">
        <v>244</v>
      </c>
      <c r="F138">
        <v>1</v>
      </c>
      <c r="G138">
        <v>1225</v>
      </c>
      <c r="H138" s="31">
        <f t="shared" si="4"/>
        <v>1225</v>
      </c>
      <c r="I138" t="s">
        <v>241</v>
      </c>
      <c r="J138"/>
      <c r="K138"/>
      <c r="L138"/>
    </row>
    <row r="139" spans="1:12" ht="16.149999999999999" customHeight="1">
      <c r="A139" s="9">
        <v>143</v>
      </c>
      <c r="B139" s="1" t="s">
        <v>1</v>
      </c>
      <c r="C139" s="41">
        <v>16</v>
      </c>
      <c r="E139" s="42" t="s">
        <v>245</v>
      </c>
      <c r="F139">
        <v>5</v>
      </c>
      <c r="G139">
        <v>120</v>
      </c>
      <c r="H139" s="31">
        <f t="shared" si="4"/>
        <v>600</v>
      </c>
      <c r="I139" t="s">
        <v>241</v>
      </c>
      <c r="J139"/>
      <c r="K139"/>
      <c r="L139"/>
    </row>
    <row r="140" spans="1:12">
      <c r="A140" s="9">
        <v>144</v>
      </c>
      <c r="B140" s="1" t="s">
        <v>1</v>
      </c>
      <c r="C140" s="41">
        <v>16</v>
      </c>
      <c r="E140" s="42" t="s">
        <v>246</v>
      </c>
      <c r="F140">
        <v>12</v>
      </c>
      <c r="G140">
        <v>20</v>
      </c>
      <c r="H140" s="31">
        <v>200</v>
      </c>
      <c r="I140" t="s">
        <v>241</v>
      </c>
      <c r="J140"/>
      <c r="K140"/>
      <c r="L140"/>
    </row>
    <row r="141" spans="1:12">
      <c r="A141" s="9">
        <v>145</v>
      </c>
      <c r="B141" s="1" t="s">
        <v>1</v>
      </c>
      <c r="C141" s="41">
        <v>16</v>
      </c>
      <c r="E141" s="42" t="s">
        <v>247</v>
      </c>
      <c r="F141">
        <v>1</v>
      </c>
      <c r="G141">
        <v>1500</v>
      </c>
      <c r="H141" s="31">
        <f t="shared" si="4"/>
        <v>1500</v>
      </c>
      <c r="I141" t="s">
        <v>241</v>
      </c>
      <c r="J141"/>
      <c r="K141"/>
      <c r="L141"/>
    </row>
    <row r="142" spans="1:12">
      <c r="A142" s="9">
        <v>146</v>
      </c>
      <c r="B142" s="1" t="s">
        <v>1</v>
      </c>
      <c r="C142" s="41">
        <v>16</v>
      </c>
      <c r="E142" s="42" t="s">
        <v>248</v>
      </c>
      <c r="F142">
        <v>50</v>
      </c>
      <c r="G142">
        <v>80</v>
      </c>
      <c r="H142" s="31">
        <f t="shared" si="4"/>
        <v>4000</v>
      </c>
      <c r="I142" t="s">
        <v>249</v>
      </c>
      <c r="J142"/>
      <c r="K142"/>
      <c r="L142"/>
    </row>
    <row r="143" spans="1:12">
      <c r="A143" s="9">
        <v>147</v>
      </c>
      <c r="B143" s="1" t="s">
        <v>1</v>
      </c>
      <c r="C143" s="41">
        <v>16</v>
      </c>
      <c r="E143" s="42" t="s">
        <v>69</v>
      </c>
      <c r="F143">
        <v>1</v>
      </c>
      <c r="G143">
        <v>270</v>
      </c>
      <c r="H143" s="31">
        <f t="shared" si="4"/>
        <v>270</v>
      </c>
      <c r="I143" t="s">
        <v>249</v>
      </c>
      <c r="J143"/>
      <c r="K143"/>
      <c r="L143"/>
    </row>
    <row r="144" spans="1:12">
      <c r="A144" s="9">
        <v>149</v>
      </c>
      <c r="B144" s="1" t="s">
        <v>1</v>
      </c>
      <c r="C144" s="41">
        <v>16</v>
      </c>
      <c r="E144" s="42" t="s">
        <v>250</v>
      </c>
      <c r="F144">
        <v>1</v>
      </c>
      <c r="G144">
        <v>400</v>
      </c>
      <c r="H144" s="31">
        <f t="shared" si="4"/>
        <v>400</v>
      </c>
      <c r="I144"/>
      <c r="J144"/>
      <c r="K144"/>
      <c r="L144"/>
    </row>
    <row r="145" spans="1:12">
      <c r="A145" s="9">
        <v>150</v>
      </c>
      <c r="B145" s="1" t="s">
        <v>1</v>
      </c>
      <c r="C145" s="41">
        <v>16</v>
      </c>
      <c r="D145" s="1" t="s">
        <v>159</v>
      </c>
      <c r="E145" s="42" t="s">
        <v>161</v>
      </c>
      <c r="F145">
        <v>1</v>
      </c>
      <c r="G145">
        <v>800</v>
      </c>
      <c r="H145" s="31">
        <f t="shared" si="4"/>
        <v>800</v>
      </c>
      <c r="I145"/>
      <c r="J145"/>
      <c r="K145"/>
      <c r="L145"/>
    </row>
    <row r="146" spans="1:12">
      <c r="A146" s="9">
        <v>150</v>
      </c>
      <c r="B146" s="1" t="s">
        <v>1</v>
      </c>
      <c r="C146" s="41">
        <v>16</v>
      </c>
      <c r="E146" s="42" t="s">
        <v>251</v>
      </c>
      <c r="F146">
        <v>1</v>
      </c>
      <c r="G146">
        <v>12000</v>
      </c>
      <c r="H146" s="31">
        <f t="shared" si="4"/>
        <v>12000</v>
      </c>
      <c r="I146"/>
      <c r="J146"/>
      <c r="K146"/>
      <c r="L146"/>
    </row>
    <row r="147" spans="1:12">
      <c r="A147" s="9">
        <v>150</v>
      </c>
      <c r="B147" s="1" t="s">
        <v>1</v>
      </c>
      <c r="C147" s="41">
        <v>16</v>
      </c>
      <c r="E147" s="42" t="s">
        <v>252</v>
      </c>
      <c r="F147">
        <v>1</v>
      </c>
      <c r="G147">
        <v>12000</v>
      </c>
      <c r="H147" s="31">
        <f t="shared" si="4"/>
        <v>12000</v>
      </c>
      <c r="I147"/>
      <c r="J147"/>
      <c r="K147"/>
      <c r="L147"/>
    </row>
    <row r="148" spans="1:12">
      <c r="A148" s="9">
        <v>151</v>
      </c>
      <c r="B148" s="1" t="s">
        <v>1</v>
      </c>
      <c r="C148" s="41">
        <v>16</v>
      </c>
      <c r="E148" s="42" t="s">
        <v>253</v>
      </c>
      <c r="F148">
        <v>1</v>
      </c>
      <c r="G148">
        <v>240</v>
      </c>
      <c r="H148" s="31">
        <f t="shared" si="4"/>
        <v>240</v>
      </c>
      <c r="I148"/>
      <c r="J148"/>
      <c r="K148"/>
      <c r="L148"/>
    </row>
    <row r="149" spans="1:12">
      <c r="A149" s="9">
        <v>152</v>
      </c>
      <c r="B149" s="1" t="s">
        <v>1</v>
      </c>
      <c r="C149" s="41">
        <v>16</v>
      </c>
      <c r="D149" s="1" t="s">
        <v>155</v>
      </c>
      <c r="E149" s="42" t="s">
        <v>157</v>
      </c>
      <c r="F149">
        <v>100</v>
      </c>
      <c r="G149">
        <v>127</v>
      </c>
      <c r="H149" s="31">
        <f t="shared" si="4"/>
        <v>12700</v>
      </c>
      <c r="I149"/>
      <c r="J149"/>
      <c r="K149"/>
      <c r="L149"/>
    </row>
    <row r="150" spans="1:12">
      <c r="A150" s="9">
        <v>153</v>
      </c>
      <c r="B150" s="1" t="s">
        <v>1</v>
      </c>
      <c r="C150" s="41">
        <v>17</v>
      </c>
      <c r="E150" s="42" t="s">
        <v>254</v>
      </c>
      <c r="F150">
        <v>2</v>
      </c>
      <c r="G150">
        <v>1492.5</v>
      </c>
      <c r="H150" s="31">
        <f t="shared" si="4"/>
        <v>2985</v>
      </c>
      <c r="I150" t="s">
        <v>117</v>
      </c>
      <c r="J150"/>
      <c r="K150"/>
      <c r="L150"/>
    </row>
    <row r="151" spans="1:12">
      <c r="A151" s="9">
        <v>154</v>
      </c>
      <c r="B151" s="1" t="s">
        <v>1</v>
      </c>
      <c r="C151" s="41">
        <v>17</v>
      </c>
      <c r="E151" s="42" t="s">
        <v>144</v>
      </c>
      <c r="F151">
        <v>2</v>
      </c>
      <c r="G151">
        <v>257.5</v>
      </c>
      <c r="H151" s="31">
        <f t="shared" si="4"/>
        <v>515</v>
      </c>
      <c r="I151"/>
      <c r="J151"/>
      <c r="K151"/>
      <c r="L151"/>
    </row>
    <row r="152" spans="1:12">
      <c r="A152" s="9">
        <v>155</v>
      </c>
      <c r="B152" s="1" t="s">
        <v>1</v>
      </c>
      <c r="C152" s="41">
        <v>17</v>
      </c>
      <c r="D152" s="1" t="s">
        <v>159</v>
      </c>
      <c r="E152" s="42" t="s">
        <v>255</v>
      </c>
      <c r="F152">
        <v>1</v>
      </c>
      <c r="G152">
        <v>1500</v>
      </c>
      <c r="H152" s="31">
        <f t="shared" si="4"/>
        <v>1500</v>
      </c>
      <c r="I152"/>
      <c r="J152"/>
      <c r="K152"/>
      <c r="L152"/>
    </row>
    <row r="153" spans="1:12">
      <c r="A153" s="9">
        <v>156</v>
      </c>
      <c r="B153" s="1" t="s">
        <v>1</v>
      </c>
      <c r="C153" s="41">
        <v>17</v>
      </c>
      <c r="D153" s="1" t="s">
        <v>231</v>
      </c>
      <c r="E153" s="42" t="s">
        <v>256</v>
      </c>
      <c r="F153">
        <v>1</v>
      </c>
      <c r="G153">
        <v>1500</v>
      </c>
      <c r="H153" s="31">
        <f t="shared" si="4"/>
        <v>1500</v>
      </c>
      <c r="I153"/>
      <c r="J153"/>
      <c r="K153"/>
      <c r="L153"/>
    </row>
    <row r="154" spans="1:12">
      <c r="A154" s="9">
        <v>157</v>
      </c>
      <c r="B154" s="1" t="s">
        <v>1</v>
      </c>
      <c r="C154" s="41">
        <v>17</v>
      </c>
      <c r="E154" s="42" t="s">
        <v>196</v>
      </c>
      <c r="F154">
        <v>50</v>
      </c>
      <c r="G154">
        <v>25</v>
      </c>
      <c r="H154" s="31">
        <f t="shared" si="4"/>
        <v>1250</v>
      </c>
      <c r="I154" t="s">
        <v>257</v>
      </c>
      <c r="J154"/>
      <c r="K154" t="s">
        <v>124</v>
      </c>
      <c r="L154"/>
    </row>
    <row r="155" spans="1:12">
      <c r="A155" s="9">
        <v>158</v>
      </c>
      <c r="B155" s="1" t="s">
        <v>1</v>
      </c>
      <c r="C155" s="41">
        <v>17</v>
      </c>
      <c r="E155" s="42" t="s">
        <v>258</v>
      </c>
      <c r="F155">
        <v>2</v>
      </c>
      <c r="G155">
        <v>780</v>
      </c>
      <c r="H155" s="31">
        <f t="shared" si="4"/>
        <v>1560</v>
      </c>
      <c r="I155"/>
      <c r="J155"/>
      <c r="K155"/>
      <c r="L155"/>
    </row>
    <row r="156" spans="1:12">
      <c r="A156" s="9">
        <v>159</v>
      </c>
      <c r="B156" s="1" t="s">
        <v>1</v>
      </c>
      <c r="C156" s="41">
        <v>17</v>
      </c>
      <c r="E156" s="80" t="s">
        <v>259</v>
      </c>
      <c r="F156" s="81">
        <v>1</v>
      </c>
      <c r="G156" s="81">
        <v>500</v>
      </c>
      <c r="H156" s="82">
        <f t="shared" si="4"/>
        <v>500</v>
      </c>
      <c r="I156"/>
      <c r="J156"/>
      <c r="K156"/>
      <c r="L156"/>
    </row>
    <row r="157" spans="1:12">
      <c r="A157" s="9">
        <v>170</v>
      </c>
      <c r="B157" s="1" t="s">
        <v>1</v>
      </c>
      <c r="C157" s="41">
        <v>18</v>
      </c>
      <c r="E157" s="42" t="s">
        <v>240</v>
      </c>
      <c r="F157">
        <v>1</v>
      </c>
      <c r="G157">
        <v>1200</v>
      </c>
      <c r="H157" s="31">
        <f t="shared" si="4"/>
        <v>1200</v>
      </c>
      <c r="I157" t="s">
        <v>83</v>
      </c>
      <c r="J157">
        <v>27</v>
      </c>
      <c r="K157"/>
      <c r="L157"/>
    </row>
    <row r="158" spans="1:12">
      <c r="A158" s="9">
        <v>171</v>
      </c>
      <c r="B158" s="1" t="s">
        <v>1</v>
      </c>
      <c r="C158" s="41">
        <v>18</v>
      </c>
      <c r="E158" s="42" t="s">
        <v>260</v>
      </c>
      <c r="F158">
        <v>4</v>
      </c>
      <c r="G158">
        <v>310</v>
      </c>
      <c r="H158" s="31">
        <f t="shared" si="4"/>
        <v>1240</v>
      </c>
      <c r="I158" t="s">
        <v>83</v>
      </c>
      <c r="J158">
        <v>27</v>
      </c>
      <c r="K158"/>
      <c r="L158"/>
    </row>
    <row r="159" spans="1:12">
      <c r="A159" s="9">
        <v>172</v>
      </c>
      <c r="B159" s="1" t="s">
        <v>1</v>
      </c>
      <c r="C159" s="41">
        <v>18</v>
      </c>
      <c r="E159" s="42" t="s">
        <v>140</v>
      </c>
      <c r="F159">
        <v>1</v>
      </c>
      <c r="G159">
        <v>350</v>
      </c>
      <c r="H159" s="31">
        <f t="shared" si="4"/>
        <v>350</v>
      </c>
      <c r="I159" t="s">
        <v>83</v>
      </c>
      <c r="J159"/>
      <c r="K159"/>
      <c r="L159"/>
    </row>
    <row r="160" spans="1:12">
      <c r="A160" s="9">
        <v>173</v>
      </c>
      <c r="B160" s="1" t="s">
        <v>1</v>
      </c>
      <c r="C160" s="41">
        <v>18</v>
      </c>
      <c r="E160" s="42" t="s">
        <v>228</v>
      </c>
      <c r="F160">
        <v>1</v>
      </c>
      <c r="G160">
        <v>3415</v>
      </c>
      <c r="H160" s="31">
        <f t="shared" si="4"/>
        <v>3415</v>
      </c>
      <c r="I160" t="s">
        <v>83</v>
      </c>
      <c r="J160"/>
      <c r="K160"/>
      <c r="L160"/>
    </row>
    <row r="161" spans="1:13">
      <c r="A161" s="9">
        <v>174</v>
      </c>
      <c r="B161" s="1" t="s">
        <v>1</v>
      </c>
      <c r="C161" s="41">
        <v>18</v>
      </c>
      <c r="D161" s="1" t="s">
        <v>159</v>
      </c>
      <c r="E161" s="42" t="s">
        <v>143</v>
      </c>
      <c r="F161">
        <v>1</v>
      </c>
      <c r="G161">
        <v>1000</v>
      </c>
      <c r="H161" s="31">
        <f t="shared" si="4"/>
        <v>1000</v>
      </c>
      <c r="I161" t="s">
        <v>117</v>
      </c>
      <c r="J161"/>
      <c r="K161"/>
      <c r="L161"/>
    </row>
    <row r="162" spans="1:13">
      <c r="A162" s="9">
        <v>175</v>
      </c>
      <c r="B162" s="1" t="s">
        <v>1</v>
      </c>
      <c r="C162" s="41">
        <v>18</v>
      </c>
      <c r="D162" s="1" t="s">
        <v>155</v>
      </c>
      <c r="E162" s="42" t="s">
        <v>157</v>
      </c>
      <c r="F162">
        <v>220</v>
      </c>
      <c r="G162"/>
      <c r="H162" s="31">
        <v>28200</v>
      </c>
      <c r="I162"/>
      <c r="J162"/>
      <c r="K162"/>
      <c r="L162"/>
    </row>
    <row r="163" spans="1:13">
      <c r="A163" s="9">
        <v>176</v>
      </c>
      <c r="B163" s="1" t="s">
        <v>1</v>
      </c>
      <c r="C163" s="41">
        <v>18</v>
      </c>
      <c r="E163" s="42" t="s">
        <v>258</v>
      </c>
      <c r="F163">
        <v>4</v>
      </c>
      <c r="G163">
        <v>600</v>
      </c>
      <c r="H163" s="31">
        <f>F163*G163</f>
        <v>2400</v>
      </c>
      <c r="I163"/>
      <c r="J163"/>
      <c r="K163"/>
      <c r="L163"/>
    </row>
    <row r="164" spans="1:13">
      <c r="A164" s="9">
        <v>177</v>
      </c>
      <c r="B164" s="1" t="s">
        <v>1</v>
      </c>
      <c r="C164" s="41">
        <v>19</v>
      </c>
      <c r="D164" s="1" t="s">
        <v>141</v>
      </c>
      <c r="E164" s="42" t="s">
        <v>261</v>
      </c>
      <c r="F164"/>
      <c r="G164"/>
      <c r="H164" s="31">
        <v>13160</v>
      </c>
      <c r="I164"/>
      <c r="J164">
        <v>28</v>
      </c>
      <c r="K164"/>
      <c r="L164"/>
    </row>
    <row r="165" spans="1:13">
      <c r="A165" s="9">
        <v>178</v>
      </c>
      <c r="B165" s="1" t="s">
        <v>1</v>
      </c>
      <c r="C165" s="41">
        <v>19</v>
      </c>
      <c r="E165" s="42" t="s">
        <v>262</v>
      </c>
      <c r="F165"/>
      <c r="G165"/>
      <c r="H165" s="31">
        <v>3000</v>
      </c>
      <c r="I165"/>
      <c r="J165">
        <v>29</v>
      </c>
      <c r="K165"/>
      <c r="L165"/>
    </row>
    <row r="166" spans="1:13">
      <c r="A166" s="9">
        <v>179</v>
      </c>
      <c r="B166" s="1" t="s">
        <v>1</v>
      </c>
      <c r="C166" s="41">
        <v>19</v>
      </c>
      <c r="D166" s="1" t="s">
        <v>141</v>
      </c>
      <c r="E166" s="42" t="s">
        <v>263</v>
      </c>
      <c r="F166"/>
      <c r="G166"/>
      <c r="H166" s="31">
        <v>4400</v>
      </c>
      <c r="I166"/>
      <c r="J166">
        <v>30</v>
      </c>
      <c r="K166"/>
      <c r="L166"/>
    </row>
    <row r="167" spans="1:13">
      <c r="A167" s="9">
        <v>180</v>
      </c>
      <c r="B167" s="1" t="s">
        <v>1</v>
      </c>
      <c r="C167" s="41">
        <v>20</v>
      </c>
      <c r="E167" s="42" t="s">
        <v>158</v>
      </c>
      <c r="F167"/>
      <c r="G167"/>
      <c r="H167" s="31">
        <v>500</v>
      </c>
      <c r="I167"/>
      <c r="J167"/>
      <c r="K167"/>
      <c r="L167"/>
    </row>
    <row r="168" spans="1:13">
      <c r="A168" s="9">
        <v>181</v>
      </c>
      <c r="B168" s="1" t="s">
        <v>1</v>
      </c>
      <c r="C168" s="41">
        <v>20</v>
      </c>
      <c r="E168" s="42" t="s">
        <v>264</v>
      </c>
      <c r="F168"/>
      <c r="G168"/>
      <c r="H168" s="31">
        <v>800</v>
      </c>
      <c r="I168"/>
      <c r="J168"/>
      <c r="K168"/>
      <c r="L168"/>
    </row>
    <row r="169" spans="1:13">
      <c r="A169" s="9">
        <v>182</v>
      </c>
      <c r="B169" s="1" t="s">
        <v>1</v>
      </c>
      <c r="C169" s="41">
        <v>20</v>
      </c>
      <c r="D169" s="1" t="s">
        <v>159</v>
      </c>
      <c r="E169" s="42" t="s">
        <v>161</v>
      </c>
      <c r="F169">
        <v>1</v>
      </c>
      <c r="G169"/>
      <c r="H169" s="31">
        <v>700</v>
      </c>
      <c r="I169"/>
      <c r="J169"/>
      <c r="K169"/>
      <c r="L169"/>
    </row>
    <row r="170" spans="1:13">
      <c r="A170" s="9">
        <v>183</v>
      </c>
      <c r="B170" s="1" t="s">
        <v>1</v>
      </c>
      <c r="C170" s="41">
        <v>20</v>
      </c>
      <c r="E170" s="42" t="s">
        <v>265</v>
      </c>
      <c r="F170">
        <v>20</v>
      </c>
      <c r="G170"/>
      <c r="H170" s="31">
        <v>10800</v>
      </c>
      <c r="I170"/>
      <c r="J170"/>
      <c r="K170"/>
      <c r="L170"/>
    </row>
    <row r="171" spans="1:13">
      <c r="A171" s="9">
        <v>184</v>
      </c>
      <c r="B171" s="1" t="s">
        <v>1</v>
      </c>
      <c r="C171" s="41">
        <v>20</v>
      </c>
      <c r="E171" s="42" t="s">
        <v>171</v>
      </c>
      <c r="F171">
        <v>20</v>
      </c>
      <c r="G171"/>
      <c r="H171" s="31">
        <v>13000</v>
      </c>
      <c r="I171"/>
      <c r="J171"/>
      <c r="K171"/>
      <c r="L171"/>
    </row>
    <row r="172" spans="1:13">
      <c r="A172" s="9">
        <v>185</v>
      </c>
      <c r="B172" s="1" t="s">
        <v>1</v>
      </c>
      <c r="C172" s="41">
        <v>20</v>
      </c>
      <c r="E172" s="42" t="s">
        <v>266</v>
      </c>
      <c r="F172"/>
      <c r="G172"/>
      <c r="H172" s="31">
        <v>2000</v>
      </c>
      <c r="I172"/>
      <c r="J172"/>
      <c r="K172"/>
      <c r="L172"/>
    </row>
    <row r="173" spans="1:13">
      <c r="A173" s="9">
        <v>186</v>
      </c>
      <c r="B173" s="1" t="s">
        <v>1</v>
      </c>
      <c r="C173" s="41">
        <v>20</v>
      </c>
      <c r="D173" s="1" t="s">
        <v>141</v>
      </c>
      <c r="E173" s="42" t="s">
        <v>261</v>
      </c>
      <c r="F173">
        <v>1</v>
      </c>
      <c r="G173"/>
      <c r="H173" s="31">
        <v>7600</v>
      </c>
      <c r="I173"/>
      <c r="J173"/>
      <c r="K173"/>
      <c r="L173"/>
    </row>
    <row r="174" spans="1:13">
      <c r="A174" s="9">
        <v>187</v>
      </c>
      <c r="B174" s="1" t="s">
        <v>1</v>
      </c>
      <c r="C174" s="41">
        <v>20</v>
      </c>
      <c r="E174" s="42" t="s">
        <v>267</v>
      </c>
      <c r="F174">
        <v>1</v>
      </c>
      <c r="G174"/>
      <c r="H174" s="31">
        <v>50</v>
      </c>
      <c r="I174"/>
      <c r="J174"/>
      <c r="K174"/>
      <c r="L174"/>
    </row>
    <row r="175" spans="1:13">
      <c r="A175" s="9">
        <v>188</v>
      </c>
      <c r="B175" s="1" t="s">
        <v>1</v>
      </c>
      <c r="C175" s="41">
        <v>20</v>
      </c>
      <c r="E175" s="42" t="s">
        <v>268</v>
      </c>
      <c r="F175"/>
      <c r="G175"/>
      <c r="H175" s="31">
        <v>40</v>
      </c>
      <c r="I175"/>
      <c r="J175"/>
      <c r="L175"/>
      <c r="M175"/>
    </row>
    <row r="176" spans="1:13" ht="14.45" customHeight="1">
      <c r="A176" s="9">
        <v>189</v>
      </c>
      <c r="B176" s="1" t="s">
        <v>1</v>
      </c>
      <c r="C176" s="41">
        <v>20</v>
      </c>
      <c r="E176" s="42" t="s">
        <v>269</v>
      </c>
      <c r="F176"/>
      <c r="G176"/>
      <c r="H176" s="31">
        <v>30</v>
      </c>
      <c r="I176"/>
      <c r="J176"/>
      <c r="L176"/>
      <c r="M176"/>
    </row>
    <row r="177" spans="1:14">
      <c r="A177" s="9">
        <v>190</v>
      </c>
      <c r="B177" s="1" t="s">
        <v>1</v>
      </c>
      <c r="C177" s="41">
        <v>20</v>
      </c>
      <c r="E177" s="42" t="s">
        <v>270</v>
      </c>
      <c r="F177">
        <v>130</v>
      </c>
      <c r="G177"/>
      <c r="H177" s="31">
        <v>64300</v>
      </c>
      <c r="I177"/>
      <c r="J177"/>
      <c r="L177"/>
      <c r="M177"/>
    </row>
    <row r="178" spans="1:14">
      <c r="A178" s="9">
        <v>191</v>
      </c>
      <c r="B178" s="1" t="s">
        <v>1</v>
      </c>
      <c r="C178" s="41">
        <v>20</v>
      </c>
      <c r="E178" s="42" t="s">
        <v>271</v>
      </c>
      <c r="F178">
        <v>2</v>
      </c>
      <c r="G178">
        <v>530</v>
      </c>
      <c r="H178" s="31">
        <f>F178*G178</f>
        <v>1060</v>
      </c>
      <c r="I178"/>
      <c r="J178"/>
      <c r="L178"/>
      <c r="M178"/>
    </row>
    <row r="179" spans="1:14">
      <c r="A179" s="9">
        <v>192</v>
      </c>
      <c r="B179" s="1" t="s">
        <v>1</v>
      </c>
      <c r="C179" s="41">
        <v>20</v>
      </c>
      <c r="E179" s="42" t="s">
        <v>272</v>
      </c>
      <c r="F179">
        <v>1</v>
      </c>
      <c r="G179"/>
      <c r="H179" s="31">
        <v>3500</v>
      </c>
      <c r="I179"/>
      <c r="J179"/>
      <c r="L179"/>
      <c r="M179"/>
    </row>
    <row r="180" spans="1:14">
      <c r="A180" s="9">
        <v>193</v>
      </c>
      <c r="B180" s="1" t="s">
        <v>1</v>
      </c>
      <c r="C180" s="41">
        <v>20</v>
      </c>
      <c r="E180" s="42" t="s">
        <v>273</v>
      </c>
      <c r="F180">
        <v>12</v>
      </c>
      <c r="G180">
        <v>90</v>
      </c>
      <c r="H180" s="31">
        <f>F180*G180</f>
        <v>1080</v>
      </c>
      <c r="I180"/>
      <c r="J180"/>
      <c r="L180"/>
      <c r="M180"/>
    </row>
    <row r="181" spans="1:14">
      <c r="A181" s="9">
        <v>194</v>
      </c>
      <c r="B181" s="1" t="s">
        <v>1</v>
      </c>
      <c r="C181" s="41">
        <v>20</v>
      </c>
      <c r="E181" s="42" t="s">
        <v>274</v>
      </c>
      <c r="F181"/>
      <c r="G181"/>
      <c r="H181" s="31">
        <v>1150</v>
      </c>
      <c r="I181"/>
      <c r="J181"/>
      <c r="L181"/>
      <c r="M181"/>
    </row>
    <row r="182" spans="1:14">
      <c r="A182" s="9">
        <v>195</v>
      </c>
      <c r="B182" s="1" t="s">
        <v>1</v>
      </c>
      <c r="C182" s="41">
        <v>20</v>
      </c>
      <c r="E182" s="42" t="s">
        <v>275</v>
      </c>
      <c r="F182">
        <v>60</v>
      </c>
      <c r="G182">
        <v>35</v>
      </c>
      <c r="H182" s="31">
        <f>F182*G182</f>
        <v>2100</v>
      </c>
      <c r="I182"/>
      <c r="J182"/>
      <c r="K182"/>
      <c r="L182"/>
    </row>
    <row r="183" spans="1:14">
      <c r="A183" s="9">
        <v>196</v>
      </c>
      <c r="B183" s="1" t="s">
        <v>1</v>
      </c>
      <c r="C183" s="41">
        <v>20</v>
      </c>
      <c r="E183" s="42" t="s">
        <v>276</v>
      </c>
      <c r="F183"/>
      <c r="G183"/>
      <c r="H183" s="31">
        <v>950</v>
      </c>
      <c r="I183"/>
      <c r="J183"/>
      <c r="K183"/>
      <c r="L183"/>
      <c r="N183" s="9" t="s">
        <v>124</v>
      </c>
    </row>
    <row r="184" spans="1:14">
      <c r="A184" s="9">
        <v>197</v>
      </c>
      <c r="B184" s="1" t="s">
        <v>1</v>
      </c>
      <c r="C184" s="41">
        <v>20</v>
      </c>
      <c r="E184" s="42" t="s">
        <v>228</v>
      </c>
      <c r="F184"/>
      <c r="G184"/>
      <c r="H184" s="31">
        <v>2055</v>
      </c>
      <c r="I184"/>
      <c r="J184"/>
      <c r="K184"/>
      <c r="L184"/>
    </row>
    <row r="185" spans="1:14">
      <c r="A185" s="9">
        <v>198</v>
      </c>
      <c r="B185" s="1" t="s">
        <v>1</v>
      </c>
      <c r="C185" s="41">
        <v>20</v>
      </c>
      <c r="E185" s="42" t="s">
        <v>277</v>
      </c>
      <c r="F185">
        <v>1</v>
      </c>
      <c r="G185">
        <f>H185/F185</f>
        <v>270</v>
      </c>
      <c r="H185" s="84">
        <v>270</v>
      </c>
      <c r="I185"/>
      <c r="J185"/>
      <c r="K185"/>
      <c r="L185"/>
    </row>
    <row r="186" spans="1:14">
      <c r="A186" s="9">
        <v>199</v>
      </c>
      <c r="B186" s="1" t="s">
        <v>1</v>
      </c>
      <c r="C186" s="41">
        <v>20</v>
      </c>
      <c r="E186" s="42" t="s">
        <v>228</v>
      </c>
      <c r="F186">
        <v>1</v>
      </c>
      <c r="G186">
        <f>H186/F186</f>
        <v>80</v>
      </c>
      <c r="H186" s="84">
        <v>80</v>
      </c>
      <c r="I186"/>
      <c r="J186"/>
      <c r="K186"/>
      <c r="L186"/>
    </row>
    <row r="187" spans="1:14">
      <c r="A187" s="9">
        <v>200</v>
      </c>
      <c r="B187" s="1" t="s">
        <v>1</v>
      </c>
      <c r="C187" s="41">
        <v>20</v>
      </c>
      <c r="D187" s="1" t="s">
        <v>278</v>
      </c>
      <c r="E187" s="42" t="s">
        <v>279</v>
      </c>
      <c r="F187">
        <v>2</v>
      </c>
      <c r="G187"/>
      <c r="H187" s="31">
        <v>1150</v>
      </c>
      <c r="I187"/>
      <c r="J187"/>
      <c r="K187"/>
      <c r="L187"/>
    </row>
    <row r="188" spans="1:14">
      <c r="A188" s="9">
        <v>201</v>
      </c>
      <c r="B188" s="1" t="s">
        <v>1</v>
      </c>
      <c r="C188" s="41">
        <v>20</v>
      </c>
      <c r="D188" s="1" t="s">
        <v>159</v>
      </c>
      <c r="E188" s="42" t="s">
        <v>143</v>
      </c>
      <c r="F188">
        <v>1</v>
      </c>
      <c r="G188"/>
      <c r="H188" s="31">
        <v>1000</v>
      </c>
      <c r="I188"/>
      <c r="J188"/>
      <c r="L188"/>
    </row>
    <row r="189" spans="1:14">
      <c r="A189" s="9">
        <v>201</v>
      </c>
      <c r="B189" s="1" t="s">
        <v>1</v>
      </c>
      <c r="C189" s="41">
        <v>20</v>
      </c>
      <c r="E189" s="42" t="s">
        <v>268</v>
      </c>
      <c r="F189"/>
      <c r="G189"/>
      <c r="H189" s="31">
        <v>270</v>
      </c>
      <c r="I189"/>
      <c r="J189"/>
      <c r="L189"/>
    </row>
    <row r="190" spans="1:14">
      <c r="A190" s="9">
        <v>201</v>
      </c>
      <c r="B190" s="1" t="s">
        <v>1</v>
      </c>
      <c r="C190" s="41">
        <v>20</v>
      </c>
      <c r="E190" s="42" t="s">
        <v>91</v>
      </c>
      <c r="F190"/>
      <c r="G190"/>
      <c r="H190" s="31">
        <v>20</v>
      </c>
      <c r="I190"/>
      <c r="J190"/>
      <c r="L190"/>
    </row>
    <row r="191" spans="1:14">
      <c r="A191" s="9">
        <v>201</v>
      </c>
      <c r="B191" s="1" t="s">
        <v>1</v>
      </c>
      <c r="C191" s="41">
        <v>20</v>
      </c>
      <c r="E191" s="42" t="s">
        <v>280</v>
      </c>
      <c r="F191"/>
      <c r="G191"/>
      <c r="H191" s="31">
        <v>1000</v>
      </c>
      <c r="I191"/>
      <c r="J191"/>
      <c r="L191"/>
    </row>
    <row r="192" spans="1:14">
      <c r="A192" s="9">
        <v>201</v>
      </c>
      <c r="B192" s="1" t="s">
        <v>1</v>
      </c>
      <c r="C192" s="41">
        <v>20</v>
      </c>
      <c r="E192" s="42" t="s">
        <v>277</v>
      </c>
      <c r="F192"/>
      <c r="G192"/>
      <c r="H192" s="31">
        <v>270</v>
      </c>
      <c r="I192"/>
      <c r="J192"/>
      <c r="L192"/>
    </row>
    <row r="193" spans="1:12">
      <c r="A193" s="9">
        <v>201</v>
      </c>
      <c r="B193" s="1" t="s">
        <v>1</v>
      </c>
      <c r="C193" s="41">
        <v>20</v>
      </c>
      <c r="E193" s="42" t="s">
        <v>146</v>
      </c>
      <c r="F193"/>
      <c r="G193"/>
      <c r="H193" s="31">
        <v>80</v>
      </c>
      <c r="I193"/>
      <c r="J193"/>
      <c r="L193"/>
    </row>
    <row r="194" spans="1:12">
      <c r="A194" s="9">
        <v>202</v>
      </c>
      <c r="B194" s="1" t="s">
        <v>1</v>
      </c>
      <c r="C194" s="41">
        <v>20</v>
      </c>
      <c r="D194" s="1" t="s">
        <v>278</v>
      </c>
      <c r="E194" s="42" t="s">
        <v>281</v>
      </c>
      <c r="F194"/>
      <c r="G194"/>
      <c r="H194" s="31">
        <v>380</v>
      </c>
      <c r="I194"/>
      <c r="J194"/>
      <c r="K194"/>
      <c r="L194"/>
    </row>
    <row r="195" spans="1:12">
      <c r="A195" s="9">
        <v>203</v>
      </c>
      <c r="B195" s="1" t="s">
        <v>1</v>
      </c>
      <c r="C195" s="41">
        <v>20</v>
      </c>
      <c r="D195" s="1" t="s">
        <v>141</v>
      </c>
      <c r="E195" s="42" t="s">
        <v>152</v>
      </c>
      <c r="F195"/>
      <c r="G195"/>
      <c r="H195" s="31">
        <v>700</v>
      </c>
      <c r="I195"/>
      <c r="J195"/>
      <c r="K195"/>
      <c r="L195"/>
    </row>
    <row r="196" spans="1:12">
      <c r="A196" s="9">
        <v>204</v>
      </c>
      <c r="B196" s="1" t="s">
        <v>1</v>
      </c>
      <c r="C196" s="41">
        <v>20</v>
      </c>
      <c r="E196" s="42" t="s">
        <v>140</v>
      </c>
      <c r="F196">
        <v>2</v>
      </c>
      <c r="G196"/>
      <c r="H196" s="31">
        <v>2000</v>
      </c>
      <c r="I196"/>
      <c r="J196"/>
      <c r="K196"/>
      <c r="L196"/>
    </row>
    <row r="197" spans="1:12">
      <c r="A197" s="9">
        <v>205</v>
      </c>
      <c r="B197" s="1" t="s">
        <v>1</v>
      </c>
      <c r="C197" s="41">
        <v>20</v>
      </c>
      <c r="D197" s="1" t="s">
        <v>278</v>
      </c>
      <c r="E197" t="s">
        <v>282</v>
      </c>
      <c r="F197" s="85"/>
      <c r="H197" s="31">
        <v>10000</v>
      </c>
      <c r="I197"/>
      <c r="J197"/>
      <c r="K197"/>
      <c r="L197"/>
    </row>
    <row r="198" spans="1:12">
      <c r="A198" s="9">
        <v>206</v>
      </c>
      <c r="B198" s="1" t="s">
        <v>1</v>
      </c>
      <c r="C198" s="41">
        <v>20</v>
      </c>
      <c r="D198" s="1" t="s">
        <v>278</v>
      </c>
      <c r="E198" t="s">
        <v>234</v>
      </c>
      <c r="F198" s="85"/>
      <c r="H198" s="31">
        <v>35000</v>
      </c>
      <c r="I198"/>
      <c r="J198"/>
      <c r="K198"/>
      <c r="L198"/>
    </row>
    <row r="199" spans="1:12">
      <c r="A199" s="9">
        <v>207</v>
      </c>
      <c r="B199" s="1" t="s">
        <v>1</v>
      </c>
      <c r="C199" s="41">
        <v>20</v>
      </c>
      <c r="D199" s="1" t="s">
        <v>278</v>
      </c>
      <c r="E199" t="s">
        <v>283</v>
      </c>
      <c r="F199" s="85"/>
      <c r="H199" s="31">
        <v>10000</v>
      </c>
      <c r="I199"/>
      <c r="J199"/>
      <c r="K199"/>
      <c r="L199"/>
    </row>
    <row r="200" spans="1:12">
      <c r="A200" s="9">
        <v>208</v>
      </c>
      <c r="B200" s="1" t="s">
        <v>1</v>
      </c>
      <c r="C200" s="41">
        <v>20</v>
      </c>
      <c r="E200" t="s">
        <v>284</v>
      </c>
      <c r="F200"/>
      <c r="G200"/>
      <c r="H200" s="31">
        <v>1455</v>
      </c>
      <c r="I200" t="s">
        <v>285</v>
      </c>
      <c r="J200"/>
      <c r="K200"/>
      <c r="L200"/>
    </row>
    <row r="201" spans="1:12">
      <c r="A201" s="9">
        <v>209</v>
      </c>
      <c r="B201" s="1" t="s">
        <v>1</v>
      </c>
      <c r="C201" s="41">
        <v>20</v>
      </c>
      <c r="D201" s="1" t="s">
        <v>141</v>
      </c>
      <c r="E201" t="s">
        <v>277</v>
      </c>
      <c r="F201">
        <v>100</v>
      </c>
      <c r="G201"/>
      <c r="H201" s="31">
        <v>860</v>
      </c>
      <c r="I201" t="s">
        <v>285</v>
      </c>
      <c r="J201"/>
      <c r="K201"/>
      <c r="L201"/>
    </row>
    <row r="202" spans="1:12">
      <c r="A202" s="9">
        <v>210</v>
      </c>
      <c r="B202" s="1" t="s">
        <v>1</v>
      </c>
      <c r="C202" s="41">
        <v>20</v>
      </c>
      <c r="E202" t="s">
        <v>228</v>
      </c>
      <c r="F202"/>
      <c r="G202"/>
      <c r="H202" s="31">
        <v>80</v>
      </c>
      <c r="I202" t="s">
        <v>285</v>
      </c>
      <c r="J202"/>
      <c r="K202"/>
      <c r="L202"/>
    </row>
    <row r="203" spans="1:12">
      <c r="A203" s="9">
        <v>211</v>
      </c>
      <c r="B203" s="1" t="s">
        <v>1</v>
      </c>
      <c r="C203" s="41">
        <v>20</v>
      </c>
      <c r="E203" t="s">
        <v>176</v>
      </c>
      <c r="F203"/>
      <c r="G203"/>
      <c r="H203" s="31">
        <v>3140</v>
      </c>
      <c r="I203" t="s">
        <v>83</v>
      </c>
      <c r="J203"/>
      <c r="K203"/>
      <c r="L203"/>
    </row>
    <row r="204" spans="1:12">
      <c r="A204" s="9">
        <v>212</v>
      </c>
      <c r="B204" s="1" t="s">
        <v>1</v>
      </c>
      <c r="C204" s="41">
        <v>20</v>
      </c>
      <c r="E204" t="s">
        <v>286</v>
      </c>
      <c r="F204">
        <v>2</v>
      </c>
      <c r="G204">
        <v>140</v>
      </c>
      <c r="H204" s="31">
        <f>F204*G204</f>
        <v>280</v>
      </c>
      <c r="I204" t="s">
        <v>83</v>
      </c>
      <c r="J204"/>
      <c r="K204"/>
      <c r="L204"/>
    </row>
    <row r="205" spans="1:12">
      <c r="A205" s="9">
        <v>213</v>
      </c>
      <c r="B205" s="1" t="s">
        <v>1</v>
      </c>
      <c r="C205" s="41">
        <v>20</v>
      </c>
      <c r="D205" s="1" t="s">
        <v>141</v>
      </c>
      <c r="E205" t="s">
        <v>287</v>
      </c>
      <c r="F205">
        <v>6</v>
      </c>
      <c r="G205"/>
      <c r="H205" s="31">
        <v>1020</v>
      </c>
      <c r="I205" t="s">
        <v>83</v>
      </c>
      <c r="J205"/>
      <c r="K205"/>
      <c r="L205"/>
    </row>
    <row r="206" spans="1:12">
      <c r="A206" s="9">
        <v>214</v>
      </c>
      <c r="B206" s="1" t="s">
        <v>1</v>
      </c>
      <c r="C206" s="41">
        <v>20</v>
      </c>
      <c r="E206" t="s">
        <v>228</v>
      </c>
      <c r="F206"/>
      <c r="G206"/>
      <c r="H206" s="31">
        <v>1480</v>
      </c>
      <c r="I206" t="s">
        <v>83</v>
      </c>
      <c r="J206"/>
      <c r="K206"/>
      <c r="L206"/>
    </row>
    <row r="207" spans="1:12">
      <c r="A207" s="9">
        <v>215</v>
      </c>
      <c r="B207" s="1" t="s">
        <v>1</v>
      </c>
      <c r="C207" s="41">
        <v>20</v>
      </c>
      <c r="E207" t="s">
        <v>264</v>
      </c>
      <c r="F207">
        <v>2</v>
      </c>
      <c r="G207">
        <v>100</v>
      </c>
      <c r="H207" s="31">
        <f>F207*G207</f>
        <v>200</v>
      </c>
      <c r="I207" t="s">
        <v>117</v>
      </c>
      <c r="J207"/>
      <c r="K207"/>
      <c r="L207"/>
    </row>
    <row r="208" spans="1:12">
      <c r="A208" s="9">
        <v>216</v>
      </c>
      <c r="B208" s="1" t="s">
        <v>1</v>
      </c>
      <c r="C208" s="41">
        <v>20</v>
      </c>
      <c r="E208" t="s">
        <v>288</v>
      </c>
      <c r="F208">
        <v>1</v>
      </c>
      <c r="G208">
        <v>80</v>
      </c>
      <c r="H208" s="31">
        <f>F208*G208</f>
        <v>80</v>
      </c>
      <c r="I208" t="s">
        <v>117</v>
      </c>
      <c r="J208"/>
      <c r="K208"/>
      <c r="L208"/>
    </row>
    <row r="209" spans="1:12">
      <c r="A209" s="9">
        <v>217</v>
      </c>
      <c r="B209" s="1" t="s">
        <v>1</v>
      </c>
      <c r="C209" s="41">
        <v>20</v>
      </c>
      <c r="D209" s="1" t="s">
        <v>159</v>
      </c>
      <c r="E209" t="s">
        <v>143</v>
      </c>
      <c r="F209">
        <v>1</v>
      </c>
      <c r="G209">
        <v>1150</v>
      </c>
      <c r="H209" s="31">
        <f>F209*G209</f>
        <v>1150</v>
      </c>
      <c r="I209" t="s">
        <v>117</v>
      </c>
      <c r="J209"/>
      <c r="K209"/>
      <c r="L209"/>
    </row>
    <row r="210" spans="1:12">
      <c r="A210" s="9">
        <v>218</v>
      </c>
      <c r="B210" s="1" t="s">
        <v>1</v>
      </c>
      <c r="C210" s="41">
        <v>20</v>
      </c>
      <c r="D210" s="1" t="s">
        <v>159</v>
      </c>
      <c r="E210" t="s">
        <v>289</v>
      </c>
      <c r="F210"/>
      <c r="G210"/>
      <c r="H210" s="31">
        <v>12000</v>
      </c>
      <c r="I210"/>
      <c r="J210"/>
      <c r="K210"/>
      <c r="L210"/>
    </row>
    <row r="211" spans="1:12">
      <c r="A211" s="9">
        <v>219</v>
      </c>
      <c r="B211" s="1" t="s">
        <v>1</v>
      </c>
      <c r="C211" s="41">
        <v>20</v>
      </c>
      <c r="D211" s="1" t="s">
        <v>159</v>
      </c>
      <c r="E211" t="s">
        <v>290</v>
      </c>
      <c r="F211">
        <v>1</v>
      </c>
      <c r="G211">
        <v>7000</v>
      </c>
      <c r="H211" s="31">
        <f>F211*G211</f>
        <v>7000</v>
      </c>
      <c r="I211"/>
      <c r="J211"/>
      <c r="K211"/>
      <c r="L211"/>
    </row>
    <row r="212" spans="1:12">
      <c r="A212" s="9">
        <v>220</v>
      </c>
      <c r="B212" s="1" t="s">
        <v>1</v>
      </c>
      <c r="C212" s="41">
        <v>20</v>
      </c>
      <c r="D212" s="1" t="s">
        <v>159</v>
      </c>
      <c r="E212" t="s">
        <v>291</v>
      </c>
      <c r="F212">
        <v>1</v>
      </c>
      <c r="G212"/>
      <c r="H212" s="31">
        <v>10000</v>
      </c>
      <c r="I212"/>
      <c r="J212"/>
      <c r="K212"/>
      <c r="L212"/>
    </row>
    <row r="213" spans="1:12">
      <c r="A213" s="9">
        <v>221</v>
      </c>
      <c r="B213" s="1" t="s">
        <v>1</v>
      </c>
      <c r="C213" s="41">
        <v>20</v>
      </c>
      <c r="E213" t="s">
        <v>156</v>
      </c>
      <c r="F213">
        <v>2.5</v>
      </c>
      <c r="G213">
        <v>900</v>
      </c>
      <c r="H213" s="83">
        <f>F213*G213</f>
        <v>2250</v>
      </c>
      <c r="I213"/>
      <c r="J213"/>
      <c r="K213"/>
      <c r="L213"/>
    </row>
    <row r="214" spans="1:12">
      <c r="A214" s="9">
        <v>222</v>
      </c>
      <c r="B214" s="1" t="s">
        <v>1</v>
      </c>
      <c r="C214" s="41">
        <v>20</v>
      </c>
      <c r="E214" t="s">
        <v>292</v>
      </c>
      <c r="F214"/>
      <c r="G214"/>
      <c r="H214" s="31">
        <v>1000</v>
      </c>
      <c r="I214"/>
      <c r="J214"/>
      <c r="K214"/>
      <c r="L214"/>
    </row>
    <row r="215" spans="1:12">
      <c r="A215" s="9">
        <v>223</v>
      </c>
      <c r="B215" s="1" t="s">
        <v>1</v>
      </c>
      <c r="C215" s="41">
        <v>24</v>
      </c>
      <c r="E215" t="s">
        <v>293</v>
      </c>
      <c r="F215">
        <v>35</v>
      </c>
      <c r="G215">
        <v>380</v>
      </c>
      <c r="H215" s="31">
        <f>F215*G215</f>
        <v>13300</v>
      </c>
      <c r="I215"/>
      <c r="J215"/>
      <c r="K215"/>
      <c r="L215"/>
    </row>
    <row r="216" spans="1:12">
      <c r="A216" s="9">
        <v>224</v>
      </c>
      <c r="B216" s="1" t="s">
        <v>1</v>
      </c>
      <c r="C216" s="41">
        <v>24</v>
      </c>
      <c r="E216" t="s">
        <v>69</v>
      </c>
      <c r="F216">
        <v>1</v>
      </c>
      <c r="G216">
        <v>360</v>
      </c>
      <c r="H216" s="31">
        <f>F216*G216</f>
        <v>360</v>
      </c>
      <c r="I216"/>
      <c r="J216"/>
      <c r="K216"/>
      <c r="L216"/>
    </row>
    <row r="217" spans="1:12">
      <c r="A217" s="9">
        <v>225</v>
      </c>
      <c r="B217" s="1" t="s">
        <v>1</v>
      </c>
      <c r="C217" s="41">
        <v>24</v>
      </c>
      <c r="E217" t="s">
        <v>264</v>
      </c>
      <c r="F217">
        <v>1</v>
      </c>
      <c r="G217"/>
      <c r="H217" s="31">
        <v>120</v>
      </c>
      <c r="I217"/>
      <c r="J217"/>
      <c r="K217"/>
      <c r="L217"/>
    </row>
    <row r="218" spans="1:12">
      <c r="A218" s="9">
        <v>226</v>
      </c>
      <c r="B218" s="1" t="s">
        <v>1</v>
      </c>
      <c r="C218" s="41">
        <v>24</v>
      </c>
      <c r="E218" t="s">
        <v>294</v>
      </c>
      <c r="F218">
        <v>3</v>
      </c>
      <c r="G218"/>
      <c r="H218" s="31">
        <v>190</v>
      </c>
      <c r="I218"/>
      <c r="J218" t="s">
        <v>124</v>
      </c>
      <c r="K218"/>
      <c r="L218"/>
    </row>
    <row r="219" spans="1:12">
      <c r="A219" s="9">
        <v>227</v>
      </c>
      <c r="B219" s="1" t="s">
        <v>1</v>
      </c>
      <c r="C219" s="41">
        <v>24</v>
      </c>
      <c r="E219" t="s">
        <v>152</v>
      </c>
      <c r="F219"/>
      <c r="G219"/>
      <c r="H219" s="31">
        <v>10050</v>
      </c>
      <c r="I219"/>
      <c r="J219"/>
      <c r="K219"/>
      <c r="L219"/>
    </row>
    <row r="220" spans="1:12">
      <c r="A220" s="9">
        <v>228</v>
      </c>
      <c r="B220" s="1" t="s">
        <v>1</v>
      </c>
      <c r="C220" s="41">
        <v>26</v>
      </c>
      <c r="E220" t="s">
        <v>140</v>
      </c>
      <c r="F220"/>
      <c r="G220"/>
      <c r="H220" s="31">
        <v>1000</v>
      </c>
      <c r="I220"/>
      <c r="J220"/>
      <c r="K220"/>
      <c r="L220"/>
    </row>
    <row r="221" spans="1:12">
      <c r="A221" s="9">
        <v>229</v>
      </c>
      <c r="B221" s="1" t="s">
        <v>1</v>
      </c>
      <c r="C221" s="41">
        <v>24</v>
      </c>
      <c r="E221" t="s">
        <v>295</v>
      </c>
      <c r="F221"/>
      <c r="G221"/>
      <c r="H221" s="31">
        <v>6200</v>
      </c>
      <c r="I221"/>
      <c r="J221"/>
      <c r="K221"/>
      <c r="L221"/>
    </row>
    <row r="222" spans="1:12">
      <c r="A222" s="9">
        <v>230</v>
      </c>
      <c r="B222" s="1" t="s">
        <v>1</v>
      </c>
      <c r="C222" s="41">
        <v>24</v>
      </c>
      <c r="D222" s="1" t="s">
        <v>159</v>
      </c>
      <c r="E222" t="s">
        <v>200</v>
      </c>
      <c r="F222"/>
      <c r="G222"/>
      <c r="H222" s="31">
        <v>540</v>
      </c>
      <c r="I222"/>
      <c r="J222"/>
      <c r="K222"/>
      <c r="L222"/>
    </row>
    <row r="223" spans="1:12">
      <c r="A223" s="9">
        <v>231</v>
      </c>
      <c r="B223" s="1" t="s">
        <v>1</v>
      </c>
      <c r="C223" s="41">
        <v>24</v>
      </c>
      <c r="E223" t="s">
        <v>296</v>
      </c>
      <c r="F223"/>
      <c r="G223"/>
      <c r="H223" s="31">
        <v>78525</v>
      </c>
      <c r="I223"/>
      <c r="J223"/>
      <c r="K223"/>
      <c r="L223"/>
    </row>
    <row r="224" spans="1:12">
      <c r="A224" s="9">
        <v>232</v>
      </c>
      <c r="B224" s="1" t="s">
        <v>1</v>
      </c>
      <c r="C224" s="41">
        <v>24</v>
      </c>
      <c r="E224" t="s">
        <v>297</v>
      </c>
      <c r="F224"/>
      <c r="G224"/>
      <c r="H224" s="31">
        <v>600</v>
      </c>
      <c r="I224"/>
      <c r="J224"/>
      <c r="K224"/>
      <c r="L224"/>
    </row>
    <row r="225" spans="1:13">
      <c r="A225" s="9">
        <v>233</v>
      </c>
      <c r="B225" s="1" t="s">
        <v>1</v>
      </c>
      <c r="C225" s="41">
        <v>24</v>
      </c>
      <c r="E225" t="s">
        <v>298</v>
      </c>
      <c r="F225"/>
      <c r="G225"/>
      <c r="H225" s="31">
        <v>400</v>
      </c>
      <c r="I225"/>
      <c r="J225"/>
      <c r="K225"/>
      <c r="L225"/>
    </row>
    <row r="226" spans="1:13">
      <c r="A226" s="9">
        <v>234</v>
      </c>
      <c r="B226" s="1" t="s">
        <v>1</v>
      </c>
      <c r="C226" s="41">
        <v>24</v>
      </c>
      <c r="E226" t="s">
        <v>218</v>
      </c>
      <c r="F226">
        <v>10</v>
      </c>
      <c r="G226">
        <v>160</v>
      </c>
      <c r="H226" s="31">
        <f>F226*G226</f>
        <v>1600</v>
      </c>
      <c r="I226"/>
      <c r="J226"/>
      <c r="K226"/>
      <c r="L226"/>
    </row>
    <row r="227" spans="1:13">
      <c r="A227" s="9">
        <v>235</v>
      </c>
      <c r="B227" s="1" t="s">
        <v>1</v>
      </c>
      <c r="C227" s="41">
        <v>25</v>
      </c>
      <c r="E227" t="s">
        <v>299</v>
      </c>
      <c r="F227">
        <v>2</v>
      </c>
      <c r="G227">
        <v>550</v>
      </c>
      <c r="H227" s="31">
        <f>F227*G227</f>
        <v>1100</v>
      </c>
      <c r="I227" t="s">
        <v>83</v>
      </c>
      <c r="J227">
        <v>180</v>
      </c>
      <c r="K227"/>
      <c r="L227"/>
    </row>
    <row r="228" spans="1:13">
      <c r="A228" s="9">
        <v>236</v>
      </c>
      <c r="B228" s="1" t="s">
        <v>1</v>
      </c>
      <c r="C228" s="41">
        <v>25</v>
      </c>
      <c r="E228" t="s">
        <v>300</v>
      </c>
      <c r="F228">
        <v>5</v>
      </c>
      <c r="G228">
        <v>35</v>
      </c>
      <c r="H228" s="31">
        <f>F228*G228</f>
        <v>175</v>
      </c>
      <c r="I228" t="s">
        <v>83</v>
      </c>
      <c r="J228"/>
      <c r="K228"/>
      <c r="L228"/>
    </row>
    <row r="229" spans="1:13">
      <c r="A229" s="9">
        <v>237</v>
      </c>
      <c r="B229" s="1" t="s">
        <v>1</v>
      </c>
      <c r="C229" s="41">
        <v>25</v>
      </c>
      <c r="E229" t="s">
        <v>301</v>
      </c>
      <c r="F229">
        <v>2</v>
      </c>
      <c r="G229">
        <v>70</v>
      </c>
      <c r="H229" s="31">
        <f>F229*G229</f>
        <v>140</v>
      </c>
      <c r="I229" t="s">
        <v>83</v>
      </c>
      <c r="J229">
        <v>181</v>
      </c>
      <c r="K229"/>
      <c r="L229"/>
    </row>
    <row r="230" spans="1:13">
      <c r="A230" s="9">
        <v>238</v>
      </c>
      <c r="B230" s="1" t="s">
        <v>1</v>
      </c>
      <c r="C230" s="41">
        <v>25</v>
      </c>
      <c r="E230" t="s">
        <v>302</v>
      </c>
      <c r="F230">
        <v>6</v>
      </c>
      <c r="G230">
        <v>35</v>
      </c>
      <c r="H230" s="31">
        <f>F230*G230</f>
        <v>210</v>
      </c>
      <c r="I230" t="s">
        <v>83</v>
      </c>
      <c r="J230"/>
      <c r="K230"/>
      <c r="L230"/>
    </row>
    <row r="231" spans="1:13">
      <c r="A231" s="9">
        <v>239</v>
      </c>
      <c r="B231" s="1" t="s">
        <v>1</v>
      </c>
      <c r="C231" s="41">
        <v>25</v>
      </c>
      <c r="E231" t="s">
        <v>208</v>
      </c>
      <c r="F231"/>
      <c r="G231"/>
      <c r="H231" s="31">
        <v>6840</v>
      </c>
      <c r="I231" t="s">
        <v>83</v>
      </c>
      <c r="J231">
        <v>182</v>
      </c>
      <c r="K231"/>
      <c r="L231"/>
    </row>
    <row r="232" spans="1:13">
      <c r="A232" s="9">
        <v>241</v>
      </c>
      <c r="B232" s="1" t="s">
        <v>1</v>
      </c>
      <c r="C232" s="41">
        <v>25</v>
      </c>
      <c r="E232" t="s">
        <v>303</v>
      </c>
      <c r="F232">
        <v>1</v>
      </c>
      <c r="G232">
        <v>7000</v>
      </c>
      <c r="H232" s="31">
        <f>F232*G232</f>
        <v>7000</v>
      </c>
      <c r="I232" t="s">
        <v>83</v>
      </c>
      <c r="J232">
        <v>184</v>
      </c>
      <c r="K232"/>
      <c r="L232"/>
    </row>
    <row r="233" spans="1:13">
      <c r="A233" s="9">
        <v>242</v>
      </c>
      <c r="B233" s="1" t="s">
        <v>1</v>
      </c>
      <c r="C233" s="41">
        <v>25</v>
      </c>
      <c r="E233" t="s">
        <v>304</v>
      </c>
      <c r="F233"/>
      <c r="G233"/>
      <c r="H233" s="31">
        <v>750</v>
      </c>
      <c r="I233" t="s">
        <v>83</v>
      </c>
      <c r="J233">
        <v>187</v>
      </c>
      <c r="K233"/>
      <c r="L233"/>
    </row>
    <row r="234" spans="1:13">
      <c r="A234" s="9">
        <v>243</v>
      </c>
      <c r="B234" s="1" t="s">
        <v>1</v>
      </c>
      <c r="C234" s="41">
        <v>25</v>
      </c>
      <c r="E234" t="s">
        <v>228</v>
      </c>
      <c r="F234"/>
      <c r="G234"/>
      <c r="H234" s="31">
        <v>3610</v>
      </c>
      <c r="I234" t="s">
        <v>83</v>
      </c>
      <c r="J234"/>
      <c r="K234"/>
      <c r="L234"/>
    </row>
    <row r="235" spans="1:13">
      <c r="A235" s="9">
        <v>244</v>
      </c>
      <c r="B235" s="1" t="s">
        <v>1</v>
      </c>
      <c r="C235" s="41">
        <v>25</v>
      </c>
      <c r="E235" t="s">
        <v>305</v>
      </c>
      <c r="F235"/>
      <c r="G235"/>
      <c r="H235" s="31">
        <v>650</v>
      </c>
      <c r="I235" t="s">
        <v>83</v>
      </c>
      <c r="J235"/>
      <c r="K235"/>
      <c r="L235"/>
    </row>
    <row r="236" spans="1:13">
      <c r="A236" s="9">
        <v>245</v>
      </c>
      <c r="B236" s="1" t="s">
        <v>1</v>
      </c>
      <c r="C236" s="41">
        <v>25</v>
      </c>
      <c r="E236" t="s">
        <v>306</v>
      </c>
      <c r="F236">
        <v>3</v>
      </c>
      <c r="G236">
        <v>350</v>
      </c>
      <c r="H236" s="31">
        <f t="shared" ref="H236:H243" si="5">F236*G236</f>
        <v>1050</v>
      </c>
      <c r="I236" t="s">
        <v>83</v>
      </c>
      <c r="J236"/>
      <c r="K236"/>
      <c r="L236"/>
    </row>
    <row r="237" spans="1:13">
      <c r="A237" s="9">
        <v>246</v>
      </c>
      <c r="B237" s="1" t="s">
        <v>1</v>
      </c>
      <c r="C237" s="41">
        <v>25</v>
      </c>
      <c r="E237" t="s">
        <v>307</v>
      </c>
      <c r="F237">
        <v>6</v>
      </c>
      <c r="G237">
        <v>130</v>
      </c>
      <c r="H237" s="31">
        <f t="shared" si="5"/>
        <v>780</v>
      </c>
      <c r="I237" t="s">
        <v>83</v>
      </c>
      <c r="J237"/>
      <c r="K237"/>
      <c r="L237"/>
    </row>
    <row r="238" spans="1:13">
      <c r="A238" s="9">
        <v>247</v>
      </c>
      <c r="B238" s="1" t="s">
        <v>1</v>
      </c>
      <c r="C238" s="41">
        <v>25</v>
      </c>
      <c r="E238" t="s">
        <v>308</v>
      </c>
      <c r="F238">
        <v>5</v>
      </c>
      <c r="G238">
        <v>620</v>
      </c>
      <c r="H238" s="31">
        <f t="shared" si="5"/>
        <v>3100</v>
      </c>
      <c r="I238" t="s">
        <v>309</v>
      </c>
      <c r="J238">
        <v>191</v>
      </c>
      <c r="K238"/>
      <c r="L238"/>
    </row>
    <row r="239" spans="1:13">
      <c r="A239" s="9">
        <v>250</v>
      </c>
      <c r="B239" s="1" t="s">
        <v>1</v>
      </c>
      <c r="C239" s="41">
        <v>25</v>
      </c>
      <c r="E239" t="s">
        <v>310</v>
      </c>
      <c r="F239">
        <v>2</v>
      </c>
      <c r="G239">
        <v>400</v>
      </c>
      <c r="H239" s="31">
        <f t="shared" si="5"/>
        <v>800</v>
      </c>
      <c r="I239" t="s">
        <v>309</v>
      </c>
      <c r="J239">
        <v>188</v>
      </c>
      <c r="K239"/>
      <c r="L239"/>
      <c r="M239" s="9" t="s">
        <v>124</v>
      </c>
    </row>
    <row r="240" spans="1:13">
      <c r="A240" s="9">
        <v>251</v>
      </c>
      <c r="B240" s="1" t="s">
        <v>1</v>
      </c>
      <c r="C240" s="41">
        <v>25</v>
      </c>
      <c r="E240" t="s">
        <v>311</v>
      </c>
      <c r="F240">
        <v>2</v>
      </c>
      <c r="G240">
        <v>250</v>
      </c>
      <c r="H240" s="31">
        <f t="shared" si="5"/>
        <v>500</v>
      </c>
      <c r="I240" t="s">
        <v>309</v>
      </c>
      <c r="J240">
        <v>188</v>
      </c>
      <c r="K240"/>
      <c r="L240"/>
    </row>
    <row r="241" spans="1:20">
      <c r="A241" s="9">
        <v>252</v>
      </c>
      <c r="B241" s="1" t="s">
        <v>1</v>
      </c>
      <c r="C241" s="41">
        <v>25</v>
      </c>
      <c r="E241" t="s">
        <v>218</v>
      </c>
      <c r="F241">
        <v>8</v>
      </c>
      <c r="G241">
        <v>195</v>
      </c>
      <c r="H241" s="31">
        <f t="shared" si="5"/>
        <v>1560</v>
      </c>
      <c r="I241" t="s">
        <v>309</v>
      </c>
      <c r="J241">
        <v>189</v>
      </c>
      <c r="K241"/>
      <c r="L241"/>
    </row>
    <row r="242" spans="1:20">
      <c r="A242" s="9">
        <v>253</v>
      </c>
      <c r="B242" s="1" t="s">
        <v>1</v>
      </c>
      <c r="C242" s="41">
        <v>25</v>
      </c>
      <c r="E242" t="s">
        <v>312</v>
      </c>
      <c r="F242">
        <v>2</v>
      </c>
      <c r="G242">
        <v>45</v>
      </c>
      <c r="H242" s="31">
        <f t="shared" si="5"/>
        <v>90</v>
      </c>
      <c r="I242" t="s">
        <v>309</v>
      </c>
      <c r="J242">
        <v>190</v>
      </c>
      <c r="K242"/>
      <c r="L242"/>
    </row>
    <row r="243" spans="1:20">
      <c r="A243" s="9">
        <v>254</v>
      </c>
      <c r="B243" s="1" t="s">
        <v>1</v>
      </c>
      <c r="C243" s="41">
        <v>25</v>
      </c>
      <c r="E243" t="s">
        <v>313</v>
      </c>
      <c r="F243">
        <v>2</v>
      </c>
      <c r="G243">
        <v>185</v>
      </c>
      <c r="H243" s="31">
        <f t="shared" si="5"/>
        <v>370</v>
      </c>
      <c r="I243" t="s">
        <v>309</v>
      </c>
      <c r="J243"/>
      <c r="K243"/>
      <c r="L243"/>
    </row>
    <row r="244" spans="1:20">
      <c r="A244" s="9">
        <v>255</v>
      </c>
      <c r="B244" s="1" t="s">
        <v>1</v>
      </c>
      <c r="C244" s="41">
        <v>25</v>
      </c>
      <c r="E244" t="s">
        <v>228</v>
      </c>
      <c r="F244"/>
      <c r="G244"/>
      <c r="H244" s="31">
        <v>1195</v>
      </c>
      <c r="I244" t="s">
        <v>309</v>
      </c>
      <c r="J244"/>
      <c r="K244"/>
      <c r="L244"/>
    </row>
    <row r="245" spans="1:20">
      <c r="A245" s="9">
        <v>256</v>
      </c>
      <c r="B245" s="1" t="s">
        <v>1</v>
      </c>
      <c r="C245" s="41">
        <v>25</v>
      </c>
      <c r="E245" t="s">
        <v>314</v>
      </c>
      <c r="F245"/>
      <c r="G245"/>
      <c r="H245" s="31">
        <v>700</v>
      </c>
      <c r="I245" t="s">
        <v>309</v>
      </c>
      <c r="J245"/>
      <c r="K245"/>
      <c r="L245"/>
      <c r="T245" s="9" t="s">
        <v>124</v>
      </c>
    </row>
    <row r="246" spans="1:20">
      <c r="A246" s="9">
        <v>257</v>
      </c>
      <c r="B246" s="1" t="s">
        <v>1</v>
      </c>
      <c r="C246" s="41">
        <v>25</v>
      </c>
      <c r="E246" t="s">
        <v>140</v>
      </c>
      <c r="F246"/>
      <c r="G246"/>
      <c r="H246" s="31">
        <v>1000</v>
      </c>
      <c r="I246"/>
      <c r="J246"/>
      <c r="K246"/>
      <c r="L246"/>
    </row>
    <row r="247" spans="1:20">
      <c r="A247" s="9">
        <v>258</v>
      </c>
      <c r="B247" s="1" t="s">
        <v>1</v>
      </c>
      <c r="C247" s="41">
        <v>29</v>
      </c>
      <c r="D247" s="1" t="s">
        <v>159</v>
      </c>
      <c r="E247" t="s">
        <v>143</v>
      </c>
      <c r="F247"/>
      <c r="G247"/>
      <c r="H247" s="31">
        <v>1000</v>
      </c>
      <c r="I247"/>
      <c r="J247"/>
      <c r="K247"/>
      <c r="L247"/>
      <c r="T247" s="9" t="s">
        <v>124</v>
      </c>
    </row>
    <row r="248" spans="1:20">
      <c r="A248" s="9">
        <v>259</v>
      </c>
      <c r="B248" s="1" t="s">
        <v>1</v>
      </c>
      <c r="C248" s="41">
        <v>29</v>
      </c>
      <c r="E248" t="s">
        <v>264</v>
      </c>
      <c r="F248"/>
      <c r="G248"/>
      <c r="H248" s="31">
        <v>300</v>
      </c>
      <c r="I248"/>
      <c r="J248"/>
      <c r="K248"/>
      <c r="L248"/>
    </row>
    <row r="249" spans="1:20">
      <c r="A249" s="9">
        <v>260</v>
      </c>
      <c r="B249" s="1" t="s">
        <v>1</v>
      </c>
      <c r="C249" s="41">
        <v>29</v>
      </c>
      <c r="E249" t="s">
        <v>264</v>
      </c>
      <c r="F249"/>
      <c r="G249"/>
      <c r="H249" s="31">
        <v>700</v>
      </c>
      <c r="I249"/>
      <c r="J249"/>
      <c r="K249"/>
      <c r="L249"/>
    </row>
    <row r="250" spans="1:20">
      <c r="A250" s="9">
        <v>261</v>
      </c>
      <c r="B250" s="1" t="s">
        <v>1</v>
      </c>
      <c r="C250" s="41">
        <v>29</v>
      </c>
      <c r="E250" t="s">
        <v>315</v>
      </c>
      <c r="F250"/>
      <c r="G250"/>
      <c r="H250" s="31">
        <v>28200</v>
      </c>
      <c r="I250"/>
      <c r="J250"/>
      <c r="K250"/>
      <c r="L250"/>
    </row>
    <row r="251" spans="1:20">
      <c r="A251" s="9">
        <v>262</v>
      </c>
      <c r="B251" s="1" t="s">
        <v>1</v>
      </c>
      <c r="C251" s="41">
        <v>29</v>
      </c>
      <c r="E251" t="s">
        <v>105</v>
      </c>
      <c r="F251">
        <v>4</v>
      </c>
      <c r="G251">
        <v>2850</v>
      </c>
      <c r="H251" s="31">
        <f>F251*G251</f>
        <v>11400</v>
      </c>
      <c r="I251" t="s">
        <v>38</v>
      </c>
      <c r="J251"/>
      <c r="K251"/>
      <c r="L251"/>
    </row>
    <row r="252" spans="1:20">
      <c r="A252" s="9">
        <v>263</v>
      </c>
      <c r="B252" s="1" t="s">
        <v>1</v>
      </c>
      <c r="C252" s="41">
        <v>29</v>
      </c>
      <c r="E252" t="s">
        <v>316</v>
      </c>
      <c r="F252">
        <v>1</v>
      </c>
      <c r="G252">
        <v>155</v>
      </c>
      <c r="H252" s="31">
        <f>F252*G252</f>
        <v>155</v>
      </c>
      <c r="I252" t="s">
        <v>38</v>
      </c>
      <c r="J252"/>
      <c r="K252"/>
      <c r="L252"/>
    </row>
    <row r="253" spans="1:20">
      <c r="A253" s="9">
        <v>264</v>
      </c>
      <c r="B253" s="1" t="s">
        <v>1</v>
      </c>
      <c r="C253" s="41">
        <v>29</v>
      </c>
      <c r="E253" t="s">
        <v>317</v>
      </c>
      <c r="F253">
        <v>1</v>
      </c>
      <c r="G253">
        <v>200</v>
      </c>
      <c r="H253" s="31">
        <f>F253*G253</f>
        <v>200</v>
      </c>
      <c r="I253" t="s">
        <v>38</v>
      </c>
      <c r="J253"/>
      <c r="K253"/>
      <c r="L253"/>
    </row>
    <row r="254" spans="1:20">
      <c r="A254" s="9">
        <v>265</v>
      </c>
      <c r="B254" s="1" t="s">
        <v>1</v>
      </c>
      <c r="C254" s="41">
        <v>29</v>
      </c>
      <c r="D254" s="1" t="s">
        <v>159</v>
      </c>
      <c r="E254" t="s">
        <v>318</v>
      </c>
      <c r="F254"/>
      <c r="G254"/>
      <c r="H254" s="31">
        <v>250</v>
      </c>
      <c r="I254"/>
      <c r="J254"/>
      <c r="K254"/>
      <c r="L254"/>
    </row>
    <row r="255" spans="1:20">
      <c r="A255" s="9">
        <v>266</v>
      </c>
      <c r="B255" s="1" t="s">
        <v>1</v>
      </c>
      <c r="C255" s="41">
        <v>29</v>
      </c>
      <c r="E255" t="s">
        <v>152</v>
      </c>
      <c r="F255"/>
      <c r="G255"/>
      <c r="H255" s="31">
        <v>370</v>
      </c>
      <c r="I255"/>
      <c r="J255"/>
      <c r="K255"/>
      <c r="L255"/>
    </row>
    <row r="256" spans="1:20">
      <c r="A256" s="9">
        <v>266</v>
      </c>
      <c r="B256" s="1" t="s">
        <v>1</v>
      </c>
      <c r="C256" s="41">
        <v>29</v>
      </c>
      <c r="E256" t="s">
        <v>319</v>
      </c>
      <c r="F256"/>
      <c r="G256"/>
      <c r="H256" s="31">
        <v>4000</v>
      </c>
      <c r="I256"/>
      <c r="J256"/>
      <c r="K256"/>
      <c r="L256"/>
    </row>
    <row r="257" spans="1:15">
      <c r="A257" s="9">
        <v>267</v>
      </c>
      <c r="B257" s="1" t="s">
        <v>1</v>
      </c>
      <c r="C257" s="41">
        <v>29</v>
      </c>
      <c r="D257" s="1" t="s">
        <v>141</v>
      </c>
      <c r="E257" t="s">
        <v>320</v>
      </c>
      <c r="F257"/>
      <c r="G257"/>
      <c r="H257" s="31">
        <v>6810</v>
      </c>
      <c r="I257" s="40" t="s">
        <v>30</v>
      </c>
      <c r="J257"/>
      <c r="K257"/>
      <c r="L257"/>
    </row>
    <row r="258" spans="1:15">
      <c r="A258" s="9">
        <v>268</v>
      </c>
      <c r="B258" s="1" t="s">
        <v>1</v>
      </c>
      <c r="C258" s="41">
        <v>29</v>
      </c>
      <c r="E258" t="s">
        <v>321</v>
      </c>
      <c r="F258">
        <v>2</v>
      </c>
      <c r="G258">
        <v>2550</v>
      </c>
      <c r="H258" s="31">
        <f t="shared" ref="H258:H299" si="6">F258*G258</f>
        <v>5100</v>
      </c>
      <c r="I258"/>
      <c r="J258"/>
      <c r="K258"/>
      <c r="L258"/>
    </row>
    <row r="259" spans="1:15">
      <c r="A259" s="9">
        <v>269</v>
      </c>
      <c r="B259" s="1" t="s">
        <v>1</v>
      </c>
      <c r="C259" s="41">
        <v>29</v>
      </c>
      <c r="E259" t="s">
        <v>322</v>
      </c>
      <c r="F259">
        <v>1</v>
      </c>
      <c r="G259">
        <v>700</v>
      </c>
      <c r="H259" s="31">
        <f t="shared" si="6"/>
        <v>700</v>
      </c>
      <c r="I259"/>
      <c r="J259"/>
      <c r="K259"/>
      <c r="L259"/>
    </row>
    <row r="260" spans="1:15">
      <c r="A260" s="9">
        <v>270</v>
      </c>
      <c r="B260" s="1" t="s">
        <v>1</v>
      </c>
      <c r="C260" s="41">
        <v>29</v>
      </c>
      <c r="E260" t="s">
        <v>69</v>
      </c>
      <c r="F260">
        <v>1</v>
      </c>
      <c r="G260"/>
      <c r="H260" s="31">
        <v>150</v>
      </c>
      <c r="I260"/>
      <c r="J260"/>
      <c r="K260"/>
      <c r="L260"/>
    </row>
    <row r="261" spans="1:15">
      <c r="A261" s="9">
        <v>271</v>
      </c>
      <c r="B261" s="1" t="s">
        <v>1</v>
      </c>
      <c r="C261" s="41">
        <v>29</v>
      </c>
      <c r="E261" t="s">
        <v>323</v>
      </c>
      <c r="F261" s="9"/>
      <c r="G261"/>
      <c r="H261" s="31">
        <v>10000</v>
      </c>
      <c r="I261"/>
      <c r="J261"/>
      <c r="K261"/>
      <c r="L261"/>
    </row>
    <row r="262" spans="1:15">
      <c r="A262" s="9">
        <v>271</v>
      </c>
      <c r="B262" s="1" t="s">
        <v>1</v>
      </c>
      <c r="C262" s="41">
        <v>29</v>
      </c>
      <c r="E262" t="s">
        <v>261</v>
      </c>
      <c r="F262"/>
      <c r="G262"/>
      <c r="H262" s="31">
        <v>10300</v>
      </c>
      <c r="I262"/>
      <c r="J262">
        <v>199</v>
      </c>
      <c r="K262"/>
      <c r="L262"/>
    </row>
    <row r="263" spans="1:15">
      <c r="A263" s="9">
        <v>272</v>
      </c>
      <c r="B263" s="1" t="s">
        <v>1</v>
      </c>
      <c r="C263" s="41">
        <v>29</v>
      </c>
      <c r="E263" t="s">
        <v>324</v>
      </c>
      <c r="F263"/>
      <c r="G263"/>
      <c r="H263" s="31">
        <v>1920</v>
      </c>
      <c r="I263"/>
      <c r="J263">
        <v>200</v>
      </c>
      <c r="K263"/>
      <c r="L263"/>
    </row>
    <row r="264" spans="1:15">
      <c r="A264" s="9">
        <v>273</v>
      </c>
      <c r="B264" s="1" t="s">
        <v>1</v>
      </c>
      <c r="C264" s="41">
        <v>29</v>
      </c>
      <c r="E264" t="s">
        <v>143</v>
      </c>
      <c r="F264"/>
      <c r="G264"/>
      <c r="H264" s="31">
        <v>950</v>
      </c>
      <c r="I264"/>
      <c r="J264"/>
      <c r="K264"/>
      <c r="L264"/>
      <c r="O264" s="9" t="s">
        <v>124</v>
      </c>
    </row>
    <row r="265" spans="1:15" s="65" customFormat="1">
      <c r="A265" s="65">
        <v>274</v>
      </c>
      <c r="B265" s="7" t="s">
        <v>2</v>
      </c>
      <c r="C265" s="66">
        <v>1</v>
      </c>
      <c r="D265" s="67"/>
      <c r="E265" s="68" t="s">
        <v>163</v>
      </c>
      <c r="F265" s="68">
        <v>5</v>
      </c>
      <c r="G265" s="68"/>
      <c r="H265" s="69">
        <v>420</v>
      </c>
      <c r="I265" s="68"/>
      <c r="J265" s="68"/>
      <c r="K265" s="68"/>
      <c r="L265" s="68"/>
    </row>
    <row r="266" spans="1:15">
      <c r="A266" s="9">
        <v>275</v>
      </c>
      <c r="B266" s="7" t="s">
        <v>2</v>
      </c>
      <c r="C266" s="41">
        <v>1</v>
      </c>
      <c r="E266" t="s">
        <v>69</v>
      </c>
      <c r="F266">
        <v>1</v>
      </c>
      <c r="G266"/>
      <c r="H266" s="31">
        <v>720</v>
      </c>
      <c r="I266"/>
      <c r="J266"/>
      <c r="K266"/>
      <c r="L266"/>
    </row>
    <row r="267" spans="1:15">
      <c r="A267" s="9">
        <v>276</v>
      </c>
      <c r="B267" s="7" t="s">
        <v>2</v>
      </c>
      <c r="C267" s="41">
        <v>1</v>
      </c>
      <c r="D267" s="1" t="s">
        <v>155</v>
      </c>
      <c r="E267" t="s">
        <v>325</v>
      </c>
      <c r="F267"/>
      <c r="G267"/>
      <c r="H267" s="31">
        <v>26000</v>
      </c>
      <c r="I267"/>
      <c r="J267">
        <v>208</v>
      </c>
      <c r="K267"/>
      <c r="L267"/>
    </row>
    <row r="268" spans="1:15">
      <c r="A268" s="9">
        <v>277</v>
      </c>
      <c r="B268" s="7" t="s">
        <v>2</v>
      </c>
      <c r="C268" s="41">
        <v>1</v>
      </c>
      <c r="D268" s="1" t="s">
        <v>36</v>
      </c>
      <c r="E268" t="s">
        <v>326</v>
      </c>
      <c r="F268">
        <v>1</v>
      </c>
      <c r="G268"/>
      <c r="H268" s="31">
        <v>4000</v>
      </c>
      <c r="I268"/>
      <c r="J268"/>
      <c r="K268"/>
      <c r="L268"/>
    </row>
    <row r="269" spans="1:15">
      <c r="A269" s="9">
        <v>278</v>
      </c>
      <c r="B269" s="7" t="s">
        <v>2</v>
      </c>
      <c r="C269" s="41">
        <v>1</v>
      </c>
      <c r="E269" t="s">
        <v>327</v>
      </c>
      <c r="F269"/>
      <c r="G269"/>
      <c r="H269" s="31">
        <v>100</v>
      </c>
      <c r="I269"/>
      <c r="J269"/>
      <c r="K269"/>
      <c r="L269"/>
    </row>
    <row r="270" spans="1:15">
      <c r="A270" s="9">
        <v>279</v>
      </c>
      <c r="B270" s="7" t="s">
        <v>2</v>
      </c>
      <c r="C270" s="41">
        <v>1</v>
      </c>
      <c r="E270" t="s">
        <v>176</v>
      </c>
      <c r="F270"/>
      <c r="G270"/>
      <c r="H270" s="31">
        <v>140</v>
      </c>
      <c r="I270"/>
      <c r="J270"/>
      <c r="K270"/>
      <c r="L270"/>
    </row>
    <row r="271" spans="1:15">
      <c r="A271" s="9">
        <v>280</v>
      </c>
      <c r="B271" s="7" t="s">
        <v>2</v>
      </c>
      <c r="C271" s="41">
        <v>1</v>
      </c>
      <c r="E271" t="s">
        <v>328</v>
      </c>
      <c r="F271"/>
      <c r="G271"/>
      <c r="H271" s="31">
        <v>190</v>
      </c>
      <c r="I271"/>
      <c r="J271"/>
      <c r="L271"/>
    </row>
    <row r="272" spans="1:15">
      <c r="A272" s="9">
        <v>281</v>
      </c>
      <c r="B272" s="7" t="s">
        <v>2</v>
      </c>
      <c r="C272" s="41">
        <v>1</v>
      </c>
      <c r="E272" t="s">
        <v>263</v>
      </c>
      <c r="F272"/>
      <c r="G272"/>
      <c r="H272" s="31">
        <v>3225</v>
      </c>
      <c r="I272"/>
      <c r="J272">
        <v>210</v>
      </c>
      <c r="K272"/>
      <c r="L272"/>
    </row>
    <row r="273" spans="1:12">
      <c r="A273" s="9">
        <v>282</v>
      </c>
      <c r="B273" s="7" t="s">
        <v>2</v>
      </c>
      <c r="C273" s="41">
        <v>6</v>
      </c>
      <c r="E273" t="s">
        <v>329</v>
      </c>
      <c r="F273"/>
      <c r="G273"/>
      <c r="H273" s="31">
        <v>3000</v>
      </c>
      <c r="I273"/>
      <c r="J273"/>
      <c r="K273"/>
      <c r="L273"/>
    </row>
    <row r="274" spans="1:12">
      <c r="A274" s="9">
        <v>283</v>
      </c>
      <c r="B274" s="7" t="s">
        <v>2</v>
      </c>
      <c r="C274" s="41">
        <v>6</v>
      </c>
      <c r="E274" t="s">
        <v>330</v>
      </c>
      <c r="F274"/>
      <c r="G274"/>
      <c r="H274" s="31">
        <v>15700</v>
      </c>
      <c r="I274"/>
      <c r="J274"/>
      <c r="K274"/>
      <c r="L274"/>
    </row>
    <row r="275" spans="1:12">
      <c r="A275" s="9">
        <v>284</v>
      </c>
      <c r="B275" s="7" t="s">
        <v>2</v>
      </c>
      <c r="C275" s="41">
        <v>6</v>
      </c>
      <c r="E275" s="42" t="s">
        <v>331</v>
      </c>
      <c r="H275" s="2">
        <v>405</v>
      </c>
      <c r="J275"/>
      <c r="K275"/>
      <c r="L275"/>
    </row>
    <row r="276" spans="1:12">
      <c r="A276" s="9">
        <v>285</v>
      </c>
      <c r="B276" s="7" t="s">
        <v>2</v>
      </c>
      <c r="C276" s="41">
        <v>1</v>
      </c>
      <c r="E276" t="s">
        <v>332</v>
      </c>
      <c r="F276">
        <v>2</v>
      </c>
      <c r="G276"/>
      <c r="H276" s="31">
        <v>650</v>
      </c>
      <c r="I276" t="s">
        <v>28</v>
      </c>
      <c r="J276"/>
      <c r="K276"/>
      <c r="L276"/>
    </row>
    <row r="277" spans="1:12">
      <c r="A277" s="9">
        <v>286</v>
      </c>
      <c r="B277" s="7" t="s">
        <v>2</v>
      </c>
      <c r="C277" s="41">
        <v>5</v>
      </c>
      <c r="E277" t="s">
        <v>333</v>
      </c>
      <c r="F277">
        <v>1</v>
      </c>
      <c r="G277"/>
      <c r="H277" s="31">
        <v>10</v>
      </c>
      <c r="I277" t="s">
        <v>28</v>
      </c>
      <c r="J277"/>
      <c r="K277"/>
      <c r="L277"/>
    </row>
    <row r="278" spans="1:12">
      <c r="A278" s="9">
        <v>287</v>
      </c>
      <c r="B278" s="7" t="s">
        <v>2</v>
      </c>
      <c r="C278" s="41">
        <v>5</v>
      </c>
      <c r="E278" s="42" t="s">
        <v>334</v>
      </c>
      <c r="F278" s="35">
        <v>16</v>
      </c>
      <c r="H278" s="2">
        <v>350</v>
      </c>
      <c r="I278" t="s">
        <v>28</v>
      </c>
      <c r="J278"/>
      <c r="K278"/>
      <c r="L278"/>
    </row>
    <row r="279" spans="1:12">
      <c r="A279" s="9">
        <v>288</v>
      </c>
      <c r="B279" s="7" t="s">
        <v>2</v>
      </c>
      <c r="C279" s="41">
        <v>5</v>
      </c>
      <c r="E279" t="s">
        <v>103</v>
      </c>
      <c r="F279">
        <v>1</v>
      </c>
      <c r="G279"/>
      <c r="H279" s="31">
        <v>120</v>
      </c>
      <c r="I279" t="s">
        <v>28</v>
      </c>
      <c r="J279"/>
      <c r="K279"/>
      <c r="L279"/>
    </row>
    <row r="280" spans="1:12">
      <c r="A280" s="9">
        <v>289</v>
      </c>
      <c r="B280" s="7" t="s">
        <v>2</v>
      </c>
      <c r="C280" s="41">
        <v>5</v>
      </c>
      <c r="E280" t="s">
        <v>335</v>
      </c>
      <c r="F280">
        <v>1</v>
      </c>
      <c r="G280"/>
      <c r="H280" s="31">
        <v>120</v>
      </c>
      <c r="I280" t="s">
        <v>28</v>
      </c>
      <c r="J280"/>
      <c r="K280"/>
      <c r="L280"/>
    </row>
    <row r="281" spans="1:12">
      <c r="A281" s="9">
        <v>290</v>
      </c>
      <c r="B281" s="7" t="s">
        <v>2</v>
      </c>
      <c r="C281" s="41">
        <v>6</v>
      </c>
      <c r="E281" t="s">
        <v>114</v>
      </c>
      <c r="F281">
        <v>12</v>
      </c>
      <c r="G281"/>
      <c r="H281" s="31">
        <v>300</v>
      </c>
      <c r="I281" t="s">
        <v>28</v>
      </c>
      <c r="J281"/>
      <c r="K281"/>
      <c r="L281"/>
    </row>
    <row r="282" spans="1:12">
      <c r="A282" s="9">
        <v>292</v>
      </c>
      <c r="B282" s="7" t="s">
        <v>2</v>
      </c>
      <c r="C282" s="41">
        <v>1</v>
      </c>
      <c r="E282" t="s">
        <v>152</v>
      </c>
      <c r="F282"/>
      <c r="G282"/>
      <c r="H282" s="31">
        <v>2120</v>
      </c>
      <c r="I282" t="s">
        <v>336</v>
      </c>
      <c r="J282">
        <v>218</v>
      </c>
      <c r="K282"/>
      <c r="L282"/>
    </row>
    <row r="283" spans="1:12">
      <c r="A283" s="9">
        <v>293</v>
      </c>
      <c r="B283" s="7" t="s">
        <v>2</v>
      </c>
      <c r="C283" s="41">
        <v>8</v>
      </c>
      <c r="E283" t="s">
        <v>320</v>
      </c>
      <c r="F283"/>
      <c r="G283"/>
      <c r="H283" s="31">
        <v>9270</v>
      </c>
      <c r="I283" s="40" t="s">
        <v>30</v>
      </c>
      <c r="J283">
        <v>217</v>
      </c>
      <c r="K283"/>
      <c r="L283"/>
    </row>
    <row r="284" spans="1:12">
      <c r="A284" s="9">
        <v>294</v>
      </c>
      <c r="B284" s="7" t="s">
        <v>2</v>
      </c>
      <c r="C284" s="41">
        <v>8</v>
      </c>
      <c r="D284" s="1" t="s">
        <v>155</v>
      </c>
      <c r="E284" t="s">
        <v>325</v>
      </c>
      <c r="F284"/>
      <c r="G284"/>
      <c r="H284" s="31">
        <v>22900</v>
      </c>
      <c r="I284"/>
      <c r="J284"/>
      <c r="K284"/>
      <c r="L284"/>
    </row>
    <row r="285" spans="1:12">
      <c r="A285" s="9">
        <v>296</v>
      </c>
      <c r="B285" s="7" t="s">
        <v>2</v>
      </c>
      <c r="C285" s="41">
        <v>8</v>
      </c>
      <c r="E285" t="s">
        <v>337</v>
      </c>
      <c r="F285"/>
      <c r="G285"/>
      <c r="H285" s="31">
        <v>13140</v>
      </c>
      <c r="I285"/>
      <c r="J285"/>
      <c r="K285"/>
      <c r="L285"/>
    </row>
    <row r="286" spans="1:12">
      <c r="A286" s="9">
        <v>297</v>
      </c>
      <c r="B286" s="7" t="s">
        <v>2</v>
      </c>
      <c r="C286" s="41">
        <v>8</v>
      </c>
      <c r="D286" s="1" t="s">
        <v>141</v>
      </c>
      <c r="E286" t="s">
        <v>261</v>
      </c>
      <c r="F286"/>
      <c r="G286"/>
      <c r="H286" s="31">
        <v>14750</v>
      </c>
      <c r="I286"/>
      <c r="J286"/>
      <c r="K286"/>
      <c r="L286"/>
    </row>
    <row r="287" spans="1:12">
      <c r="A287" s="9">
        <v>298</v>
      </c>
      <c r="B287" s="7" t="s">
        <v>2</v>
      </c>
      <c r="C287" s="41">
        <v>8</v>
      </c>
      <c r="D287" s="1" t="s">
        <v>191</v>
      </c>
      <c r="E287" t="s">
        <v>338</v>
      </c>
      <c r="F287"/>
      <c r="G287"/>
      <c r="H287" s="31">
        <v>19150</v>
      </c>
      <c r="I287"/>
      <c r="J287"/>
      <c r="K287"/>
      <c r="L287"/>
    </row>
    <row r="288" spans="1:12">
      <c r="A288" s="9">
        <v>299</v>
      </c>
      <c r="B288" s="7" t="s">
        <v>2</v>
      </c>
      <c r="C288" s="41">
        <v>8</v>
      </c>
      <c r="E288" t="s">
        <v>339</v>
      </c>
      <c r="F288"/>
      <c r="G288"/>
      <c r="H288" s="31">
        <v>3700</v>
      </c>
      <c r="I288"/>
      <c r="J288"/>
      <c r="K288"/>
      <c r="L288"/>
    </row>
    <row r="289" spans="1:12">
      <c r="A289" s="9">
        <v>300</v>
      </c>
      <c r="B289" s="7" t="s">
        <v>2</v>
      </c>
      <c r="C289" s="41">
        <v>8</v>
      </c>
      <c r="E289" t="s">
        <v>140</v>
      </c>
      <c r="F289"/>
      <c r="G289"/>
      <c r="H289" s="31">
        <v>1000</v>
      </c>
      <c r="I289"/>
      <c r="J289"/>
      <c r="K289"/>
      <c r="L289"/>
    </row>
    <row r="290" spans="1:12">
      <c r="A290" s="9">
        <v>301</v>
      </c>
      <c r="B290" s="7" t="s">
        <v>2</v>
      </c>
      <c r="C290" s="41">
        <v>9</v>
      </c>
      <c r="D290" s="1" t="s">
        <v>191</v>
      </c>
      <c r="E290" t="s">
        <v>340</v>
      </c>
      <c r="F290"/>
      <c r="G290"/>
      <c r="H290" s="31">
        <v>1220</v>
      </c>
      <c r="I290"/>
      <c r="J290"/>
      <c r="K290"/>
      <c r="L290"/>
    </row>
    <row r="291" spans="1:12">
      <c r="A291" s="9">
        <v>302</v>
      </c>
      <c r="B291" s="7" t="s">
        <v>2</v>
      </c>
      <c r="C291" s="41">
        <v>9</v>
      </c>
      <c r="D291" s="1" t="s">
        <v>191</v>
      </c>
      <c r="E291" t="s">
        <v>341</v>
      </c>
      <c r="F291">
        <v>6</v>
      </c>
      <c r="G291">
        <v>90</v>
      </c>
      <c r="H291" s="31">
        <f t="shared" si="6"/>
        <v>540</v>
      </c>
      <c r="I291"/>
      <c r="J291"/>
      <c r="K291"/>
      <c r="L291"/>
    </row>
    <row r="292" spans="1:12">
      <c r="A292" s="9">
        <v>303</v>
      </c>
      <c r="B292" s="7" t="s">
        <v>2</v>
      </c>
      <c r="C292" s="41">
        <v>9</v>
      </c>
      <c r="E292" t="s">
        <v>69</v>
      </c>
      <c r="F292"/>
      <c r="G292"/>
      <c r="H292" s="31">
        <v>170</v>
      </c>
      <c r="I292"/>
      <c r="J292"/>
      <c r="K292"/>
      <c r="L292"/>
    </row>
    <row r="293" spans="1:12">
      <c r="A293" s="9">
        <v>304</v>
      </c>
      <c r="B293" s="7" t="s">
        <v>2</v>
      </c>
      <c r="C293" s="41">
        <v>10</v>
      </c>
      <c r="D293" s="1" t="s">
        <v>159</v>
      </c>
      <c r="E293" t="s">
        <v>318</v>
      </c>
      <c r="F293">
        <v>1</v>
      </c>
      <c r="G293"/>
      <c r="H293" s="31">
        <v>500</v>
      </c>
      <c r="I293"/>
      <c r="J293"/>
      <c r="K293"/>
      <c r="L293"/>
    </row>
    <row r="294" spans="1:12">
      <c r="A294" s="9">
        <v>305</v>
      </c>
      <c r="B294" s="7" t="s">
        <v>2</v>
      </c>
      <c r="C294" s="41">
        <v>10</v>
      </c>
      <c r="E294" t="s">
        <v>342</v>
      </c>
      <c r="F294"/>
      <c r="G294"/>
      <c r="H294" s="31">
        <v>800</v>
      </c>
      <c r="I294"/>
      <c r="J294"/>
      <c r="K294"/>
      <c r="L294"/>
    </row>
    <row r="295" spans="1:12">
      <c r="A295" s="9">
        <v>306</v>
      </c>
      <c r="B295" s="7" t="s">
        <v>2</v>
      </c>
      <c r="C295" s="41">
        <v>10</v>
      </c>
      <c r="E295" t="s">
        <v>342</v>
      </c>
      <c r="F295"/>
      <c r="G295"/>
      <c r="H295" s="31">
        <v>120</v>
      </c>
      <c r="I295"/>
      <c r="J295"/>
      <c r="K295"/>
      <c r="L295"/>
    </row>
    <row r="296" spans="1:12">
      <c r="A296" s="9">
        <v>307</v>
      </c>
      <c r="B296" s="7" t="s">
        <v>2</v>
      </c>
      <c r="C296" s="41">
        <v>11</v>
      </c>
      <c r="E296" s="42" t="s">
        <v>343</v>
      </c>
      <c r="F296" s="35">
        <v>5</v>
      </c>
      <c r="G296" s="3">
        <v>400</v>
      </c>
      <c r="H296" s="31">
        <f t="shared" si="6"/>
        <v>2000</v>
      </c>
      <c r="I296" t="s">
        <v>344</v>
      </c>
      <c r="J296"/>
      <c r="K296"/>
      <c r="L296"/>
    </row>
    <row r="297" spans="1:12">
      <c r="A297" s="9">
        <v>308</v>
      </c>
      <c r="B297" s="7" t="s">
        <v>2</v>
      </c>
      <c r="C297" s="41">
        <v>11</v>
      </c>
      <c r="E297" s="42" t="s">
        <v>345</v>
      </c>
      <c r="F297" s="35">
        <v>2</v>
      </c>
      <c r="G297" s="3">
        <v>25</v>
      </c>
      <c r="H297" s="31">
        <f t="shared" si="6"/>
        <v>50</v>
      </c>
      <c r="I297" t="s">
        <v>344</v>
      </c>
      <c r="J297"/>
      <c r="K297"/>
      <c r="L297"/>
    </row>
    <row r="298" spans="1:12">
      <c r="A298" s="9">
        <v>309</v>
      </c>
      <c r="B298" s="7" t="s">
        <v>2</v>
      </c>
      <c r="C298" s="41">
        <v>11</v>
      </c>
      <c r="E298" s="42" t="s">
        <v>346</v>
      </c>
      <c r="F298" s="35">
        <v>1</v>
      </c>
      <c r="G298" s="3">
        <v>200</v>
      </c>
      <c r="H298" s="31">
        <f t="shared" si="6"/>
        <v>200</v>
      </c>
      <c r="I298" t="s">
        <v>344</v>
      </c>
      <c r="J298"/>
      <c r="K298"/>
      <c r="L298"/>
    </row>
    <row r="299" spans="1:12">
      <c r="A299" s="9">
        <v>310</v>
      </c>
      <c r="B299" s="7" t="s">
        <v>2</v>
      </c>
      <c r="C299" s="41">
        <v>11</v>
      </c>
      <c r="E299" s="42" t="s">
        <v>146</v>
      </c>
      <c r="F299" s="35">
        <v>1</v>
      </c>
      <c r="G299" s="3">
        <v>250</v>
      </c>
      <c r="H299" s="31">
        <f t="shared" si="6"/>
        <v>250</v>
      </c>
      <c r="I299" t="s">
        <v>344</v>
      </c>
      <c r="J299"/>
      <c r="K299"/>
      <c r="L299"/>
    </row>
    <row r="300" spans="1:12">
      <c r="A300" s="9">
        <v>311</v>
      </c>
      <c r="B300" s="7" t="s">
        <v>2</v>
      </c>
      <c r="C300" s="41">
        <v>12</v>
      </c>
      <c r="D300" s="1" t="s">
        <v>141</v>
      </c>
      <c r="E300" t="s">
        <v>263</v>
      </c>
      <c r="F300"/>
      <c r="G300"/>
      <c r="H300" s="31">
        <v>5844</v>
      </c>
      <c r="I300"/>
      <c r="J300"/>
      <c r="K300">
        <v>224</v>
      </c>
      <c r="L300"/>
    </row>
    <row r="301" spans="1:12">
      <c r="A301" s="9">
        <v>312</v>
      </c>
      <c r="B301" s="7" t="s">
        <v>2</v>
      </c>
      <c r="C301" s="41">
        <v>12</v>
      </c>
      <c r="E301" t="s">
        <v>189</v>
      </c>
      <c r="F301">
        <v>2</v>
      </c>
      <c r="G301"/>
      <c r="H301" s="31">
        <v>700</v>
      </c>
      <c r="I301"/>
      <c r="J301"/>
      <c r="K301"/>
      <c r="L301"/>
    </row>
    <row r="302" spans="1:12">
      <c r="A302" s="9">
        <v>313</v>
      </c>
      <c r="B302" s="7" t="s">
        <v>2</v>
      </c>
      <c r="C302" s="41">
        <v>12</v>
      </c>
      <c r="D302" s="1" t="s">
        <v>278</v>
      </c>
      <c r="E302" t="s">
        <v>281</v>
      </c>
      <c r="F302"/>
      <c r="G302"/>
      <c r="H302" s="31">
        <v>630</v>
      </c>
      <c r="I302"/>
      <c r="J302"/>
      <c r="K302"/>
      <c r="L302"/>
    </row>
    <row r="303" spans="1:12">
      <c r="A303" s="9">
        <v>314</v>
      </c>
      <c r="B303" s="7" t="s">
        <v>2</v>
      </c>
      <c r="C303" s="41">
        <v>12</v>
      </c>
      <c r="E303" t="s">
        <v>347</v>
      </c>
      <c r="F303"/>
      <c r="G303"/>
      <c r="H303" s="31">
        <v>90</v>
      </c>
      <c r="I303"/>
      <c r="J303"/>
      <c r="K303"/>
      <c r="L303"/>
    </row>
    <row r="304" spans="1:12">
      <c r="A304" s="9">
        <v>315</v>
      </c>
      <c r="B304" s="7" t="s">
        <v>2</v>
      </c>
      <c r="C304" s="41">
        <v>12</v>
      </c>
      <c r="D304" s="1" t="s">
        <v>141</v>
      </c>
      <c r="E304" s="42" t="s">
        <v>320</v>
      </c>
      <c r="H304" s="2">
        <v>2990</v>
      </c>
      <c r="I304"/>
      <c r="J304">
        <v>225</v>
      </c>
      <c r="K304"/>
      <c r="L304"/>
    </row>
    <row r="305" spans="1:12">
      <c r="A305" s="9">
        <v>316</v>
      </c>
      <c r="B305" s="7" t="s">
        <v>2</v>
      </c>
      <c r="C305" s="41">
        <v>12</v>
      </c>
      <c r="E305" t="s">
        <v>143</v>
      </c>
      <c r="F305">
        <v>1</v>
      </c>
      <c r="G305"/>
      <c r="H305" s="31">
        <v>1500</v>
      </c>
      <c r="I305"/>
      <c r="J305"/>
      <c r="K305"/>
      <c r="L305"/>
    </row>
    <row r="306" spans="1:12">
      <c r="A306" s="9">
        <v>317</v>
      </c>
      <c r="B306" s="7" t="s">
        <v>2</v>
      </c>
      <c r="C306" s="41">
        <v>12</v>
      </c>
      <c r="E306" t="s">
        <v>342</v>
      </c>
      <c r="F306"/>
      <c r="G306"/>
      <c r="H306" s="31">
        <v>300</v>
      </c>
      <c r="I306"/>
      <c r="J306"/>
      <c r="K306"/>
      <c r="L306"/>
    </row>
    <row r="307" spans="1:12">
      <c r="A307" s="9">
        <v>318</v>
      </c>
      <c r="B307" s="7" t="s">
        <v>2</v>
      </c>
      <c r="C307" s="41">
        <v>12</v>
      </c>
      <c r="E307" t="s">
        <v>329</v>
      </c>
      <c r="F307"/>
      <c r="G307"/>
      <c r="H307" s="31">
        <v>2000</v>
      </c>
      <c r="I307"/>
      <c r="J307"/>
      <c r="K307"/>
      <c r="L307"/>
    </row>
    <row r="308" spans="1:12">
      <c r="A308" s="9">
        <v>319</v>
      </c>
      <c r="B308" s="7" t="s">
        <v>2</v>
      </c>
      <c r="C308" s="41">
        <v>12</v>
      </c>
      <c r="E308" t="s">
        <v>181</v>
      </c>
      <c r="F308"/>
      <c r="G308"/>
      <c r="H308" s="31">
        <v>15000</v>
      </c>
      <c r="I308"/>
      <c r="J308"/>
      <c r="K308"/>
      <c r="L308"/>
    </row>
    <row r="309" spans="1:12">
      <c r="A309" s="9">
        <v>320</v>
      </c>
      <c r="B309" s="7" t="s">
        <v>2</v>
      </c>
      <c r="C309" s="41">
        <v>12</v>
      </c>
      <c r="E309" t="s">
        <v>319</v>
      </c>
      <c r="F309"/>
      <c r="G309"/>
      <c r="H309" s="31">
        <v>4000</v>
      </c>
      <c r="I309"/>
      <c r="J309"/>
      <c r="K309"/>
      <c r="L309"/>
    </row>
    <row r="310" spans="1:12">
      <c r="A310" s="9">
        <v>321</v>
      </c>
      <c r="B310" s="7" t="s">
        <v>2</v>
      </c>
      <c r="C310" s="41">
        <v>12</v>
      </c>
      <c r="D310" s="1" t="s">
        <v>159</v>
      </c>
      <c r="E310" t="s">
        <v>348</v>
      </c>
      <c r="F310"/>
      <c r="G310"/>
      <c r="H310" s="31">
        <v>400</v>
      </c>
      <c r="I310"/>
      <c r="J310"/>
      <c r="K310"/>
      <c r="L310"/>
    </row>
    <row r="311" spans="1:12">
      <c r="A311" s="9">
        <v>322</v>
      </c>
      <c r="B311" s="7" t="s">
        <v>2</v>
      </c>
      <c r="C311" s="41">
        <v>12</v>
      </c>
      <c r="D311" s="1" t="s">
        <v>159</v>
      </c>
      <c r="E311" t="s">
        <v>349</v>
      </c>
      <c r="F311"/>
      <c r="G311"/>
      <c r="H311" s="31">
        <v>400</v>
      </c>
      <c r="I311"/>
      <c r="J311"/>
      <c r="K311"/>
      <c r="L311"/>
    </row>
    <row r="312" spans="1:12">
      <c r="A312" s="9">
        <v>323</v>
      </c>
      <c r="B312" s="7" t="s">
        <v>2</v>
      </c>
      <c r="C312" s="41">
        <v>12</v>
      </c>
      <c r="D312" s="1" t="s">
        <v>159</v>
      </c>
      <c r="E312" t="s">
        <v>318</v>
      </c>
      <c r="F312"/>
      <c r="G312"/>
      <c r="H312" s="31">
        <v>200</v>
      </c>
      <c r="I312"/>
      <c r="J312"/>
      <c r="K312"/>
      <c r="L312"/>
    </row>
    <row r="313" spans="1:12">
      <c r="A313" s="9">
        <v>324</v>
      </c>
      <c r="B313" s="7" t="s">
        <v>2</v>
      </c>
      <c r="C313" s="41">
        <v>12</v>
      </c>
      <c r="E313" t="s">
        <v>350</v>
      </c>
      <c r="F313"/>
      <c r="G313"/>
      <c r="H313" s="31">
        <v>200</v>
      </c>
      <c r="I313"/>
      <c r="J313"/>
      <c r="K313"/>
      <c r="L313"/>
    </row>
    <row r="314" spans="1:12">
      <c r="A314" s="9">
        <v>325</v>
      </c>
      <c r="B314" s="7" t="s">
        <v>2</v>
      </c>
      <c r="C314" s="41">
        <v>12</v>
      </c>
      <c r="D314" s="1" t="s">
        <v>159</v>
      </c>
      <c r="E314" t="s">
        <v>351</v>
      </c>
      <c r="F314"/>
      <c r="G314"/>
      <c r="H314" s="31">
        <v>7500</v>
      </c>
      <c r="I314"/>
      <c r="J314"/>
      <c r="K314"/>
      <c r="L314"/>
    </row>
    <row r="315" spans="1:12">
      <c r="A315" s="9">
        <v>326</v>
      </c>
      <c r="B315" s="7" t="s">
        <v>2</v>
      </c>
      <c r="C315" s="41">
        <v>13</v>
      </c>
      <c r="D315" s="1" t="s">
        <v>159</v>
      </c>
      <c r="E315" t="s">
        <v>352</v>
      </c>
      <c r="F315"/>
      <c r="G315"/>
      <c r="H315" s="31">
        <v>80</v>
      </c>
      <c r="I315"/>
      <c r="J315"/>
      <c r="K315"/>
      <c r="L315"/>
    </row>
    <row r="316" spans="1:12">
      <c r="A316" s="9">
        <v>327</v>
      </c>
      <c r="B316" s="7" t="s">
        <v>2</v>
      </c>
      <c r="C316" s="41">
        <v>13</v>
      </c>
      <c r="D316" s="1" t="s">
        <v>159</v>
      </c>
      <c r="E316" t="s">
        <v>51</v>
      </c>
      <c r="F316"/>
      <c r="G316"/>
      <c r="H316" s="31">
        <v>40</v>
      </c>
      <c r="I316"/>
      <c r="J316"/>
      <c r="K316"/>
      <c r="L316"/>
    </row>
    <row r="317" spans="1:12">
      <c r="A317" s="9">
        <v>328</v>
      </c>
      <c r="B317" s="7" t="s">
        <v>2</v>
      </c>
      <c r="C317" s="41">
        <v>13</v>
      </c>
      <c r="D317" s="1" t="s">
        <v>159</v>
      </c>
      <c r="E317" t="s">
        <v>69</v>
      </c>
      <c r="F317"/>
      <c r="G317"/>
      <c r="H317" s="31">
        <v>60</v>
      </c>
      <c r="I317"/>
      <c r="J317"/>
      <c r="K317"/>
      <c r="L317"/>
    </row>
    <row r="318" spans="1:12">
      <c r="A318" s="9">
        <v>329</v>
      </c>
      <c r="B318" s="7" t="s">
        <v>2</v>
      </c>
      <c r="C318" s="41">
        <v>13</v>
      </c>
      <c r="E318" t="s">
        <v>353</v>
      </c>
      <c r="F318"/>
      <c r="G318"/>
      <c r="H318" s="31">
        <v>200</v>
      </c>
      <c r="I318"/>
      <c r="J318"/>
      <c r="K318"/>
      <c r="L318"/>
    </row>
    <row r="319" spans="1:12">
      <c r="A319" s="9">
        <v>330</v>
      </c>
      <c r="B319" s="7" t="s">
        <v>2</v>
      </c>
      <c r="C319" s="41">
        <v>13</v>
      </c>
      <c r="E319" t="s">
        <v>140</v>
      </c>
      <c r="F319"/>
      <c r="G319"/>
      <c r="H319" s="31">
        <v>1000</v>
      </c>
      <c r="I319"/>
      <c r="J319"/>
      <c r="K319"/>
      <c r="L319"/>
    </row>
  </sheetData>
  <autoFilter ref="A6:J319" xr:uid="{00000000-0009-0000-0000-000003000000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3B10-2773-4348-AFC6-DA49061F302D}">
  <dimension ref="A1:P60"/>
  <sheetViews>
    <sheetView zoomScale="110" zoomScaleNormal="110" workbookViewId="0">
      <pane ySplit="9" topLeftCell="A16" activePane="bottomLeft" state="frozen"/>
      <selection activeCell="F15" sqref="F15"/>
      <selection pane="bottomLeft" activeCell="F15" sqref="F15"/>
    </sheetView>
  </sheetViews>
  <sheetFormatPr defaultRowHeight="15"/>
  <cols>
    <col min="1" max="1" width="4.85546875" customWidth="1"/>
    <col min="2" max="2" width="12.140625" customWidth="1"/>
    <col min="3" max="3" width="16.7109375" style="31" customWidth="1"/>
    <col min="4" max="4" width="12.85546875" style="35" customWidth="1"/>
    <col min="5" max="5" width="14.85546875" style="35" customWidth="1"/>
    <col min="6" max="6" width="18.140625" customWidth="1"/>
    <col min="7" max="7" width="16.28515625" customWidth="1"/>
    <col min="8" max="8" width="14.42578125" customWidth="1"/>
    <col min="9" max="9" width="10.28515625" bestFit="1" customWidth="1"/>
    <col min="10" max="10" width="14.42578125" bestFit="1" customWidth="1"/>
    <col min="11" max="11" width="12" customWidth="1"/>
    <col min="12" max="12" width="11.5703125" customWidth="1"/>
    <col min="13" max="13" width="10.28515625" bestFit="1" customWidth="1"/>
    <col min="14" max="14" width="10.42578125" customWidth="1"/>
    <col min="16" max="16" width="10.85546875" customWidth="1"/>
    <col min="18" max="18" width="10.42578125" bestFit="1" customWidth="1"/>
    <col min="19" max="19" width="12.28515625" customWidth="1"/>
    <col min="20" max="20" width="11.140625" customWidth="1"/>
    <col min="22" max="22" width="9.7109375" bestFit="1" customWidth="1"/>
    <col min="24" max="24" width="12.5703125" customWidth="1"/>
    <col min="26" max="26" width="10.28515625" bestFit="1" customWidth="1"/>
  </cols>
  <sheetData>
    <row r="1" spans="1:16" ht="21" customHeight="1">
      <c r="B1" s="86" t="s">
        <v>354</v>
      </c>
      <c r="C1" s="87">
        <f>SUM(H2:H9)</f>
        <v>233920</v>
      </c>
      <c r="F1" s="88" t="s">
        <v>355</v>
      </c>
      <c r="G1" s="88" t="s">
        <v>356</v>
      </c>
      <c r="H1" s="88" t="s">
        <v>357</v>
      </c>
      <c r="I1" s="88"/>
      <c r="K1" s="88"/>
      <c r="L1" s="88"/>
      <c r="M1" s="88"/>
    </row>
    <row r="2" spans="1:16" ht="30" customHeight="1">
      <c r="E2" s="7" t="s">
        <v>28</v>
      </c>
      <c r="F2" s="89">
        <f>মাতবাখ!S2+মাদরাসা!U1</f>
        <v>970140</v>
      </c>
      <c r="G2" s="89">
        <f t="shared" ref="G2:G9" si="0">SUMIFS(C$11:C$1048576,D$11:D$1048576,E2)</f>
        <v>810000</v>
      </c>
      <c r="H2" s="89">
        <f>F2-G2</f>
        <v>160140</v>
      </c>
      <c r="J2" s="35"/>
      <c r="K2" s="31"/>
      <c r="M2" s="90"/>
      <c r="P2" s="38"/>
    </row>
    <row r="3" spans="1:16" ht="26.45" customHeight="1">
      <c r="E3" s="40" t="s">
        <v>30</v>
      </c>
      <c r="F3" s="89">
        <f>মাতবাখ!T2+মাদরাসা!U2</f>
        <v>0</v>
      </c>
      <c r="G3" s="89">
        <f t="shared" si="0"/>
        <v>16080</v>
      </c>
      <c r="H3" s="89">
        <f t="shared" ref="H3:H7" si="1">F3-G3</f>
        <v>-16080</v>
      </c>
      <c r="J3" s="1"/>
      <c r="K3" s="31"/>
      <c r="M3" s="90"/>
      <c r="P3" s="39"/>
    </row>
    <row r="4" spans="1:16" ht="26.45" customHeight="1">
      <c r="E4" s="7" t="s">
        <v>358</v>
      </c>
      <c r="F4" s="89">
        <f>মাতবাখ!U2+মাদরাসা!U2</f>
        <v>0</v>
      </c>
      <c r="G4" s="89">
        <f t="shared" si="0"/>
        <v>0</v>
      </c>
      <c r="H4" s="89">
        <f t="shared" si="1"/>
        <v>0</v>
      </c>
      <c r="K4" s="31"/>
    </row>
    <row r="5" spans="1:16" ht="26.45" customHeight="1">
      <c r="E5" s="7" t="s">
        <v>33</v>
      </c>
      <c r="F5" s="89">
        <f>SUMIFS(মাতবাখ!H:H,মাতবাখ!I:I,E5)</f>
        <v>163300</v>
      </c>
      <c r="G5" s="89">
        <f t="shared" si="0"/>
        <v>100000</v>
      </c>
      <c r="H5" s="89">
        <f t="shared" si="1"/>
        <v>63300</v>
      </c>
      <c r="J5" t="s">
        <v>124</v>
      </c>
    </row>
    <row r="6" spans="1:16" ht="26.45" customHeight="1">
      <c r="E6" s="7" t="s">
        <v>32</v>
      </c>
      <c r="F6" s="89">
        <f>SUMIFS(মাতবাখ!H:H,মাতবাখ!I:I,E6)</f>
        <v>52000</v>
      </c>
      <c r="G6" s="89">
        <f t="shared" si="0"/>
        <v>26000</v>
      </c>
      <c r="H6" s="89">
        <f t="shared" si="1"/>
        <v>26000</v>
      </c>
      <c r="K6" s="31"/>
    </row>
    <row r="7" spans="1:16" ht="26.45" customHeight="1">
      <c r="E7" s="7" t="s">
        <v>359</v>
      </c>
      <c r="F7" s="89">
        <f>SUMIFS(মাতবাখ!H:H,মাতবাখ!I:I,E7)+মাদরাসা!U4</f>
        <v>0</v>
      </c>
      <c r="G7" s="89">
        <f t="shared" si="0"/>
        <v>0</v>
      </c>
      <c r="H7" s="89">
        <f t="shared" si="1"/>
        <v>0</v>
      </c>
    </row>
    <row r="8" spans="1:16" ht="26.45" customHeight="1">
      <c r="B8" s="9"/>
      <c r="C8" s="16"/>
      <c r="D8" s="1"/>
      <c r="E8" s="1" t="s">
        <v>31</v>
      </c>
      <c r="F8" s="89">
        <f>SUMIFS(মাতবাখ!H:H,মাতবাখ!I:I,E8)+মাদরাসা!U5</f>
        <v>0</v>
      </c>
      <c r="G8" s="89">
        <f t="shared" si="0"/>
        <v>0</v>
      </c>
      <c r="H8" s="89">
        <f>F8-G8</f>
        <v>0</v>
      </c>
    </row>
    <row r="9" spans="1:16" ht="22.9" customHeight="1">
      <c r="E9" s="64" t="s">
        <v>34</v>
      </c>
      <c r="F9" s="89">
        <f>SUMIFS(মাতবাখ!H:H,মাতবাখ!I:I,E9)</f>
        <v>45560</v>
      </c>
      <c r="G9" s="89">
        <f t="shared" si="0"/>
        <v>45000</v>
      </c>
      <c r="H9" s="89">
        <f>F9-G9</f>
        <v>560</v>
      </c>
    </row>
    <row r="10" spans="1:16" ht="22.15" customHeight="1">
      <c r="A10" s="91"/>
      <c r="B10" s="92" t="s">
        <v>360</v>
      </c>
      <c r="C10" s="93" t="s">
        <v>23</v>
      </c>
      <c r="D10" s="94" t="s">
        <v>361</v>
      </c>
      <c r="E10" s="94" t="s">
        <v>362</v>
      </c>
      <c r="G10" s="89"/>
    </row>
    <row r="11" spans="1:16" ht="17.25">
      <c r="A11">
        <v>1</v>
      </c>
      <c r="B11" s="95" t="s">
        <v>363</v>
      </c>
      <c r="C11" s="96">
        <v>100000</v>
      </c>
      <c r="D11" s="7" t="s">
        <v>28</v>
      </c>
    </row>
    <row r="12" spans="1:16" ht="17.25">
      <c r="A12">
        <v>2</v>
      </c>
      <c r="B12" s="95" t="s">
        <v>363</v>
      </c>
      <c r="C12" s="97">
        <v>300000</v>
      </c>
      <c r="D12" s="7" t="s">
        <v>28</v>
      </c>
      <c r="J12" t="s">
        <v>124</v>
      </c>
    </row>
    <row r="13" spans="1:16" ht="17.25">
      <c r="A13">
        <v>3</v>
      </c>
      <c r="B13" s="98">
        <v>46124</v>
      </c>
      <c r="C13" s="31">
        <v>150000</v>
      </c>
      <c r="D13" s="7" t="s">
        <v>28</v>
      </c>
      <c r="E13" s="97"/>
      <c r="F13" t="s">
        <v>124</v>
      </c>
      <c r="G13" s="7"/>
      <c r="I13" s="7"/>
    </row>
    <row r="14" spans="1:16" ht="17.25">
      <c r="A14">
        <v>4</v>
      </c>
      <c r="B14" s="98">
        <v>46125</v>
      </c>
      <c r="C14" s="97">
        <v>45000</v>
      </c>
      <c r="D14" s="64" t="s">
        <v>34</v>
      </c>
      <c r="F14" t="s">
        <v>124</v>
      </c>
      <c r="I14" s="1" t="s">
        <v>124</v>
      </c>
    </row>
    <row r="15" spans="1:16" ht="17.25">
      <c r="A15">
        <v>5</v>
      </c>
      <c r="B15" s="98">
        <v>46126</v>
      </c>
      <c r="C15" s="97">
        <v>26000</v>
      </c>
      <c r="D15" s="7" t="s">
        <v>32</v>
      </c>
      <c r="F15" t="s">
        <v>124</v>
      </c>
      <c r="G15" t="s">
        <v>124</v>
      </c>
      <c r="H15" s="35"/>
      <c r="I15" s="35"/>
    </row>
    <row r="16" spans="1:16" ht="17.25">
      <c r="A16">
        <v>6</v>
      </c>
      <c r="B16" s="98">
        <v>46127</v>
      </c>
      <c r="C16" s="97">
        <v>110000</v>
      </c>
      <c r="D16" s="7" t="s">
        <v>28</v>
      </c>
      <c r="F16" s="35"/>
      <c r="G16" t="s">
        <v>124</v>
      </c>
    </row>
    <row r="17" spans="1:8" ht="17.25">
      <c r="A17">
        <v>7</v>
      </c>
      <c r="B17" s="95" t="s">
        <v>364</v>
      </c>
      <c r="C17" s="97">
        <v>9720</v>
      </c>
      <c r="D17" s="40" t="s">
        <v>30</v>
      </c>
      <c r="F17" t="s">
        <v>124</v>
      </c>
    </row>
    <row r="18" spans="1:8" ht="17.25">
      <c r="A18">
        <v>8</v>
      </c>
      <c r="B18" s="95" t="s">
        <v>365</v>
      </c>
      <c r="C18" s="97">
        <v>100000</v>
      </c>
      <c r="D18" s="7" t="s">
        <v>33</v>
      </c>
      <c r="F18" t="s">
        <v>124</v>
      </c>
      <c r="H18" t="s">
        <v>124</v>
      </c>
    </row>
    <row r="19" spans="1:8" ht="17.25">
      <c r="A19">
        <v>9</v>
      </c>
      <c r="B19" s="95" t="s">
        <v>366</v>
      </c>
      <c r="C19" s="97">
        <v>50000</v>
      </c>
      <c r="D19" s="7" t="s">
        <v>28</v>
      </c>
    </row>
    <row r="20" spans="1:8" ht="17.25">
      <c r="A20">
        <v>10</v>
      </c>
      <c r="B20" s="95" t="s">
        <v>367</v>
      </c>
      <c r="C20" s="97">
        <v>100000</v>
      </c>
      <c r="D20" s="7" t="s">
        <v>28</v>
      </c>
    </row>
    <row r="21" spans="1:8" ht="17.25">
      <c r="A21">
        <v>11</v>
      </c>
      <c r="B21" s="95" t="s">
        <v>368</v>
      </c>
      <c r="C21" s="96">
        <v>6360</v>
      </c>
      <c r="D21" s="40" t="s">
        <v>30</v>
      </c>
      <c r="E21" s="35" t="s">
        <v>124</v>
      </c>
    </row>
    <row r="22" spans="1:8" ht="17.25">
      <c r="A22">
        <v>168</v>
      </c>
      <c r="B22" s="95"/>
      <c r="C22" s="97"/>
      <c r="D22" s="1"/>
    </row>
    <row r="23" spans="1:8" ht="17.25">
      <c r="A23">
        <v>169</v>
      </c>
      <c r="B23" s="95"/>
      <c r="C23" s="97"/>
      <c r="D23" s="1"/>
    </row>
    <row r="24" spans="1:8" ht="17.25">
      <c r="A24">
        <v>170</v>
      </c>
      <c r="B24" s="95"/>
      <c r="C24" s="97"/>
      <c r="D24" s="1"/>
    </row>
    <row r="25" spans="1:8" ht="17.25">
      <c r="A25">
        <v>171</v>
      </c>
      <c r="B25" s="95"/>
      <c r="C25" s="97"/>
      <c r="D25" s="1"/>
    </row>
    <row r="26" spans="1:8" ht="17.25">
      <c r="A26">
        <v>172</v>
      </c>
      <c r="B26" s="95"/>
      <c r="C26" s="97"/>
      <c r="D26" s="1"/>
    </row>
    <row r="27" spans="1:8" ht="17.25">
      <c r="A27">
        <v>173</v>
      </c>
      <c r="B27" s="95"/>
      <c r="C27" s="97"/>
      <c r="D27" s="1"/>
    </row>
    <row r="28" spans="1:8" ht="17.25">
      <c r="A28">
        <v>174</v>
      </c>
      <c r="B28" s="95"/>
      <c r="C28" s="97"/>
      <c r="D28" s="1"/>
    </row>
    <row r="29" spans="1:8" ht="17.25">
      <c r="A29">
        <v>175</v>
      </c>
      <c r="B29" s="95"/>
      <c r="C29" s="97"/>
      <c r="D29" s="1"/>
    </row>
    <row r="30" spans="1:8" ht="17.25">
      <c r="A30">
        <v>176</v>
      </c>
      <c r="B30" s="95"/>
      <c r="C30" s="97"/>
      <c r="D30" s="1"/>
    </row>
    <row r="31" spans="1:8" ht="17.25">
      <c r="A31">
        <v>177</v>
      </c>
      <c r="B31" s="95"/>
      <c r="C31" s="97"/>
      <c r="D31" s="1"/>
    </row>
    <row r="32" spans="1:8" ht="17.25">
      <c r="A32">
        <v>178</v>
      </c>
      <c r="B32" s="95"/>
      <c r="C32" s="97"/>
      <c r="D32" s="1"/>
    </row>
    <row r="33" spans="1:4" ht="17.25">
      <c r="A33">
        <v>179</v>
      </c>
      <c r="B33" s="95"/>
      <c r="C33" s="97"/>
      <c r="D33" s="1"/>
    </row>
    <row r="34" spans="1:4" ht="17.25">
      <c r="A34">
        <v>180</v>
      </c>
      <c r="B34" s="95"/>
      <c r="C34" s="97"/>
      <c r="D34" s="1"/>
    </row>
    <row r="35" spans="1:4" ht="17.25">
      <c r="A35">
        <v>181</v>
      </c>
      <c r="B35" s="95"/>
      <c r="C35" s="97"/>
      <c r="D35" s="1"/>
    </row>
    <row r="36" spans="1:4" ht="17.25">
      <c r="A36">
        <v>182</v>
      </c>
      <c r="B36" s="95"/>
      <c r="C36" s="97"/>
      <c r="D36" s="1"/>
    </row>
    <row r="37" spans="1:4" ht="17.25">
      <c r="A37">
        <v>183</v>
      </c>
      <c r="B37" s="95"/>
      <c r="C37" s="97"/>
      <c r="D37" s="1"/>
    </row>
    <row r="38" spans="1:4" ht="17.25">
      <c r="A38">
        <v>184</v>
      </c>
      <c r="B38" s="95"/>
      <c r="C38" s="97"/>
    </row>
    <row r="39" spans="1:4" ht="17.25">
      <c r="A39">
        <v>185</v>
      </c>
      <c r="B39" s="95"/>
      <c r="C39" s="97"/>
    </row>
    <row r="40" spans="1:4" ht="17.25">
      <c r="A40">
        <v>186</v>
      </c>
      <c r="B40" s="95"/>
      <c r="C40" s="97"/>
    </row>
    <row r="41" spans="1:4" ht="17.25">
      <c r="A41">
        <v>187</v>
      </c>
      <c r="B41" s="95"/>
      <c r="C41" s="97"/>
    </row>
    <row r="42" spans="1:4" ht="17.25">
      <c r="A42">
        <v>188</v>
      </c>
      <c r="B42" s="95"/>
      <c r="C42" s="97"/>
    </row>
    <row r="43" spans="1:4" ht="17.25">
      <c r="A43">
        <v>189</v>
      </c>
      <c r="B43" s="95"/>
      <c r="C43" s="97"/>
    </row>
    <row r="44" spans="1:4" ht="17.25">
      <c r="A44">
        <v>190</v>
      </c>
      <c r="B44" s="95"/>
      <c r="C44" s="97"/>
    </row>
    <row r="45" spans="1:4" ht="17.25">
      <c r="A45">
        <v>191</v>
      </c>
      <c r="B45" s="95"/>
      <c r="C45" s="97"/>
    </row>
    <row r="46" spans="1:4" ht="17.25">
      <c r="A46">
        <v>192</v>
      </c>
      <c r="B46" s="95"/>
      <c r="C46" s="97"/>
    </row>
    <row r="47" spans="1:4" ht="17.25">
      <c r="A47">
        <v>193</v>
      </c>
      <c r="B47" s="95"/>
      <c r="C47" s="97"/>
    </row>
    <row r="48" spans="1:4" ht="17.25">
      <c r="A48">
        <v>194</v>
      </c>
      <c r="B48" s="95"/>
      <c r="C48" s="97"/>
    </row>
    <row r="49" spans="1:3" ht="17.25">
      <c r="A49">
        <v>195</v>
      </c>
      <c r="B49" s="95"/>
      <c r="C49" s="97"/>
    </row>
    <row r="50" spans="1:3" ht="17.25">
      <c r="A50">
        <v>196</v>
      </c>
      <c r="B50" s="95"/>
      <c r="C50" s="97"/>
    </row>
    <row r="51" spans="1:3" ht="17.25">
      <c r="A51">
        <v>197</v>
      </c>
      <c r="B51" s="95"/>
      <c r="C51" s="97"/>
    </row>
    <row r="52" spans="1:3" ht="17.25">
      <c r="A52">
        <v>198</v>
      </c>
      <c r="B52" s="95"/>
      <c r="C52" s="97"/>
    </row>
    <row r="53" spans="1:3" ht="17.25">
      <c r="A53">
        <v>199</v>
      </c>
      <c r="B53" s="95"/>
      <c r="C53" s="97"/>
    </row>
    <row r="54" spans="1:3" ht="17.25">
      <c r="A54">
        <v>200</v>
      </c>
      <c r="B54" s="95"/>
      <c r="C54" s="97"/>
    </row>
    <row r="55" spans="1:3" ht="17.25">
      <c r="A55">
        <v>201</v>
      </c>
      <c r="B55" s="95"/>
      <c r="C55" s="97"/>
    </row>
    <row r="56" spans="1:3" ht="17.25">
      <c r="A56">
        <v>202</v>
      </c>
      <c r="B56" s="95"/>
      <c r="C56" s="97"/>
    </row>
    <row r="57" spans="1:3" ht="17.25">
      <c r="A57">
        <v>203</v>
      </c>
      <c r="B57" s="95"/>
      <c r="C57" s="97"/>
    </row>
    <row r="58" spans="1:3" ht="15.75">
      <c r="A58">
        <v>204</v>
      </c>
      <c r="B58" s="95"/>
    </row>
    <row r="59" spans="1:3" ht="15.75">
      <c r="A59">
        <v>205</v>
      </c>
      <c r="B59" s="95"/>
    </row>
    <row r="60" spans="1:3" ht="15.75">
      <c r="A60">
        <v>206</v>
      </c>
      <c r="B60" s="95"/>
    </row>
  </sheetData>
  <autoFilter ref="A10:D61" xr:uid="{00000000-0009-0000-0000-000005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83D5-1D76-49AB-8B17-8DF62040DC74}">
  <dimension ref="B1:U24"/>
  <sheetViews>
    <sheetView zoomScaleNormal="100" workbookViewId="0">
      <selection activeCell="F15" sqref="F15"/>
    </sheetView>
  </sheetViews>
  <sheetFormatPr defaultRowHeight="15"/>
  <cols>
    <col min="2" max="2" width="8.85546875" customWidth="1"/>
    <col min="4" max="4" width="14.85546875" customWidth="1"/>
    <col min="6" max="6" width="11.28515625" customWidth="1"/>
  </cols>
  <sheetData>
    <row r="1" spans="2:21" ht="15.75" thickBot="1"/>
    <row r="2" spans="2:21" ht="27.6" customHeight="1">
      <c r="B2" s="99" t="s">
        <v>369</v>
      </c>
      <c r="C2" s="100"/>
      <c r="D2" s="100"/>
      <c r="E2" s="100"/>
      <c r="F2" s="101"/>
      <c r="I2" s="99" t="s">
        <v>370</v>
      </c>
      <c r="J2" s="100"/>
      <c r="K2" s="100"/>
      <c r="L2" s="100"/>
      <c r="M2" s="100"/>
      <c r="N2" s="101"/>
      <c r="Q2" s="99" t="s">
        <v>42</v>
      </c>
      <c r="R2" s="100"/>
      <c r="S2" s="100"/>
      <c r="T2" s="100"/>
      <c r="U2" s="101"/>
    </row>
    <row r="3" spans="2:21">
      <c r="B3" s="102"/>
      <c r="F3" s="103"/>
      <c r="I3" s="102"/>
      <c r="N3" s="103"/>
      <c r="Q3" s="102"/>
      <c r="U3" s="103"/>
    </row>
    <row r="4" spans="2:21">
      <c r="B4" s="102"/>
      <c r="F4" s="103"/>
      <c r="I4" s="102"/>
      <c r="N4" s="103"/>
      <c r="Q4" s="102"/>
      <c r="U4" s="103"/>
    </row>
    <row r="5" spans="2:21" ht="21" customHeight="1">
      <c r="B5" s="104" t="s">
        <v>7</v>
      </c>
      <c r="C5" s="105"/>
      <c r="D5" s="105"/>
      <c r="E5" s="106">
        <f>SUM('অর্থ গ্রহণ'!I3:$J$3)</f>
        <v>3095000</v>
      </c>
      <c r="F5" s="107"/>
      <c r="I5" s="108" t="s">
        <v>7</v>
      </c>
      <c r="J5" s="109"/>
      <c r="K5" s="109"/>
      <c r="L5" s="110">
        <f>SUM('[2]অর্থ গ্রহন'!$F$4:$G$4)</f>
        <v>400000</v>
      </c>
      <c r="M5" s="111"/>
      <c r="N5" s="103"/>
      <c r="Q5" s="112" t="s">
        <v>371</v>
      </c>
      <c r="R5" s="113"/>
      <c r="S5" s="114">
        <f>SUM(E5+L5)</f>
        <v>3495000</v>
      </c>
      <c r="T5" s="114"/>
      <c r="U5" s="115"/>
    </row>
    <row r="6" spans="2:21" ht="19.149999999999999" customHeight="1">
      <c r="B6" s="116"/>
      <c r="C6" s="117"/>
      <c r="D6" s="117"/>
      <c r="E6" s="117"/>
      <c r="F6" s="118"/>
      <c r="I6" s="102"/>
      <c r="N6" s="103"/>
      <c r="Q6" s="102"/>
      <c r="U6" s="103"/>
    </row>
    <row r="7" spans="2:21" ht="24" customHeight="1">
      <c r="B7" s="119" t="s">
        <v>372</v>
      </c>
      <c r="C7" s="120"/>
      <c r="D7" s="120"/>
      <c r="E7" s="121">
        <f>SUM('অর্থ গ্রহণ'!$J$5)</f>
        <v>1919865</v>
      </c>
      <c r="F7" s="122"/>
      <c r="I7" s="108" t="s">
        <v>373</v>
      </c>
      <c r="J7" s="109"/>
      <c r="K7" s="109"/>
      <c r="L7" s="123">
        <f>SUM('[2]অর্থ গ্রহন'!$F$6:$G$6)</f>
        <v>505173</v>
      </c>
      <c r="M7" s="109"/>
      <c r="N7" s="103"/>
      <c r="Q7" s="124" t="s">
        <v>373</v>
      </c>
      <c r="R7" s="125"/>
      <c r="S7" s="126">
        <f>SUM(E10+L7)</f>
        <v>3605817</v>
      </c>
      <c r="T7" s="125"/>
      <c r="U7" s="127"/>
    </row>
    <row r="8" spans="2:21" ht="26.45" customHeight="1">
      <c r="B8" s="128" t="s">
        <v>374</v>
      </c>
      <c r="C8" s="129"/>
      <c r="D8" s="129"/>
      <c r="E8" s="130">
        <f>SUM('অর্থ গ্রহণ'!$J$6)</f>
        <v>1180779</v>
      </c>
      <c r="F8" s="131"/>
      <c r="I8" s="108" t="s">
        <v>375</v>
      </c>
      <c r="J8" s="109"/>
      <c r="K8" s="109"/>
      <c r="L8" s="132">
        <f>SUM('[2]অর্থ গ্রহন'!$I$6:$J$6)</f>
        <v>-105173</v>
      </c>
      <c r="M8" s="132"/>
      <c r="N8" s="103"/>
      <c r="Q8" s="102"/>
      <c r="U8" s="103"/>
    </row>
    <row r="9" spans="2:21" ht="18.75">
      <c r="B9" s="116"/>
      <c r="C9" s="117"/>
      <c r="D9" s="117"/>
      <c r="E9" s="117"/>
      <c r="F9" s="118"/>
      <c r="I9" s="102"/>
      <c r="N9" s="103"/>
      <c r="Q9" s="133" t="s">
        <v>376</v>
      </c>
      <c r="R9" s="134"/>
      <c r="S9" s="135">
        <f>SUM(E22+L8)</f>
        <v>123103</v>
      </c>
      <c r="T9" s="134"/>
      <c r="U9" s="136"/>
    </row>
    <row r="10" spans="2:21" ht="21.6" customHeight="1">
      <c r="B10" s="137" t="s">
        <v>377</v>
      </c>
      <c r="C10" s="138"/>
      <c r="D10" s="138"/>
      <c r="E10" s="139">
        <f>SUM('অর্থ গ্রহণ'!$J$8)</f>
        <v>3100644</v>
      </c>
      <c r="F10" s="140"/>
      <c r="I10" s="141" t="s">
        <v>378</v>
      </c>
      <c r="J10" s="142"/>
      <c r="K10" s="142"/>
      <c r="L10" s="143">
        <f>SUM('[2]অর্থ গ্রহন'!$S$2:$T$2)</f>
        <v>136375</v>
      </c>
      <c r="M10" s="143"/>
      <c r="N10" s="144"/>
      <c r="Q10" s="102"/>
      <c r="U10" s="103"/>
    </row>
    <row r="11" spans="2:21" ht="18.75">
      <c r="B11" s="145"/>
      <c r="C11" s="146"/>
      <c r="D11" s="146"/>
      <c r="E11" s="147"/>
      <c r="F11" s="148"/>
      <c r="I11" s="102"/>
      <c r="N11" s="103"/>
      <c r="Q11" s="102"/>
      <c r="U11" s="103"/>
    </row>
    <row r="12" spans="2:21" ht="18.75">
      <c r="B12" s="149" t="s">
        <v>9</v>
      </c>
      <c r="C12" s="150"/>
      <c r="D12" s="150"/>
      <c r="E12" s="151">
        <f>SUM('অর্থ গ্রহণ'!K4:L5)</f>
        <v>-5644</v>
      </c>
      <c r="F12" s="152"/>
      <c r="I12" s="153" t="s">
        <v>379</v>
      </c>
      <c r="J12" s="111"/>
      <c r="K12" s="111"/>
      <c r="L12" s="154">
        <f>SUM('[2]অর্থ গ্রহন'!$S$4:$T$4)</f>
        <v>100000</v>
      </c>
      <c r="M12" s="154"/>
      <c r="N12" s="103"/>
      <c r="Q12" s="102"/>
      <c r="U12" s="103"/>
    </row>
    <row r="13" spans="2:21" ht="22.9" customHeight="1">
      <c r="B13" s="116"/>
      <c r="C13" s="117"/>
      <c r="D13" s="117"/>
      <c r="E13" s="117"/>
      <c r="F13" s="118"/>
      <c r="I13" s="102"/>
      <c r="N13" s="103"/>
      <c r="Q13" s="102"/>
      <c r="U13" s="103"/>
    </row>
    <row r="14" spans="2:21" ht="18.75">
      <c r="B14" s="155" t="s">
        <v>380</v>
      </c>
      <c r="C14" s="156"/>
      <c r="D14" s="156"/>
      <c r="E14" s="157">
        <f>SUM('বাকির হিসাব'!$C$1)</f>
        <v>233920</v>
      </c>
      <c r="F14" s="158"/>
      <c r="I14" s="155" t="s">
        <v>381</v>
      </c>
      <c r="J14" s="156"/>
      <c r="K14" s="156"/>
      <c r="L14" s="159">
        <f>SUM(L10,L12)</f>
        <v>236375</v>
      </c>
      <c r="M14" s="156"/>
      <c r="N14" s="103"/>
      <c r="Q14" s="102"/>
      <c r="U14" s="103"/>
    </row>
    <row r="15" spans="2:21">
      <c r="B15" s="102"/>
      <c r="F15" s="103"/>
      <c r="I15" s="102"/>
      <c r="N15" s="103"/>
      <c r="Q15" s="102"/>
      <c r="U15" s="103"/>
    </row>
    <row r="16" spans="2:21" ht="20.45" customHeight="1">
      <c r="B16" s="153"/>
      <c r="C16" s="111"/>
      <c r="D16" s="111"/>
      <c r="E16" s="154"/>
      <c r="F16" s="160"/>
      <c r="I16" s="153" t="s">
        <v>382</v>
      </c>
      <c r="J16" s="111"/>
      <c r="K16" s="111"/>
      <c r="L16" s="132">
        <f>SUM([2]বকেয়া!$K$1)</f>
        <v>268798</v>
      </c>
      <c r="M16" s="132"/>
      <c r="N16" s="103"/>
      <c r="Q16" s="102"/>
      <c r="U16" s="103"/>
    </row>
    <row r="17" spans="2:21" ht="18.75">
      <c r="B17" s="153" t="s">
        <v>383</v>
      </c>
      <c r="C17" s="111"/>
      <c r="D17" s="111"/>
      <c r="E17" s="161">
        <f>SUM(মাদরাসা!$R$5)</f>
        <v>0</v>
      </c>
      <c r="F17" s="162"/>
      <c r="I17" s="102"/>
      <c r="N17" s="103"/>
      <c r="Q17" s="102"/>
      <c r="U17" s="103"/>
    </row>
    <row r="18" spans="2:21" ht="18.75">
      <c r="B18" s="153" t="s">
        <v>278</v>
      </c>
      <c r="C18" s="111"/>
      <c r="D18" s="111"/>
      <c r="E18" s="161">
        <f>SUM(মাদরাসা!$R$2)</f>
        <v>0</v>
      </c>
      <c r="F18" s="162"/>
      <c r="I18" s="153" t="s">
        <v>384</v>
      </c>
      <c r="J18" s="111"/>
      <c r="K18" s="111"/>
      <c r="L18" s="110">
        <f>L5-L14</f>
        <v>163625</v>
      </c>
      <c r="M18" s="111"/>
      <c r="N18" s="103"/>
      <c r="Q18" s="102"/>
      <c r="U18" s="103"/>
    </row>
    <row r="19" spans="2:21" ht="18.75">
      <c r="B19" s="153" t="s">
        <v>385</v>
      </c>
      <c r="C19" s="111"/>
      <c r="D19" s="111"/>
      <c r="E19" s="161" t="e">
        <f>SUM(#REF!)</f>
        <v>#REF!</v>
      </c>
      <c r="F19" s="162"/>
      <c r="I19" s="102"/>
      <c r="N19" s="103"/>
      <c r="Q19" s="102"/>
      <c r="U19" s="103"/>
    </row>
    <row r="20" spans="2:21" ht="18.75">
      <c r="B20" s="155" t="s">
        <v>25</v>
      </c>
      <c r="C20" s="156"/>
      <c r="D20" s="156"/>
      <c r="E20" s="157" t="e">
        <f>SUM(E17:$F$19)</f>
        <v>#REF!</v>
      </c>
      <c r="F20" s="158"/>
      <c r="I20" s="102"/>
      <c r="N20" s="103"/>
      <c r="Q20" s="102"/>
      <c r="U20" s="103"/>
    </row>
    <row r="21" spans="2:21">
      <c r="B21" s="102"/>
      <c r="F21" s="103"/>
      <c r="I21" s="102"/>
      <c r="N21" s="103"/>
      <c r="Q21" s="102"/>
      <c r="U21" s="103"/>
    </row>
    <row r="22" spans="2:21" ht="19.5" thickBot="1">
      <c r="B22" s="112" t="s">
        <v>18</v>
      </c>
      <c r="C22" s="113"/>
      <c r="D22" s="113"/>
      <c r="E22" s="163">
        <f>SUM('অর্থ গ্রহণ'!X4:X5)</f>
        <v>228276</v>
      </c>
      <c r="F22" s="164"/>
      <c r="I22" s="165"/>
      <c r="J22" s="166"/>
      <c r="K22" s="166"/>
      <c r="L22" s="166"/>
      <c r="M22" s="166"/>
      <c r="N22" s="167"/>
      <c r="Q22" s="165"/>
      <c r="R22" s="166"/>
      <c r="S22" s="166"/>
      <c r="T22" s="166"/>
      <c r="U22" s="167"/>
    </row>
    <row r="23" spans="2:21">
      <c r="B23" s="102"/>
      <c r="E23" s="168"/>
      <c r="F23" s="169"/>
    </row>
    <row r="24" spans="2:21" ht="15.75" thickBot="1">
      <c r="B24" s="165"/>
      <c r="C24" s="166"/>
      <c r="D24" s="166"/>
      <c r="E24" s="166"/>
      <c r="F24" s="167"/>
    </row>
  </sheetData>
  <mergeCells count="47">
    <mergeCell ref="B20:D20"/>
    <mergeCell ref="E20:F20"/>
    <mergeCell ref="B22:D22"/>
    <mergeCell ref="E22:F22"/>
    <mergeCell ref="B18:D18"/>
    <mergeCell ref="E18:F18"/>
    <mergeCell ref="I18:K18"/>
    <mergeCell ref="L18:M18"/>
    <mergeCell ref="B19:D19"/>
    <mergeCell ref="E19:F19"/>
    <mergeCell ref="B16:D16"/>
    <mergeCell ref="E16:F16"/>
    <mergeCell ref="I16:K16"/>
    <mergeCell ref="L16:M16"/>
    <mergeCell ref="B17:D17"/>
    <mergeCell ref="E17:F17"/>
    <mergeCell ref="B12:D12"/>
    <mergeCell ref="E12:F12"/>
    <mergeCell ref="I12:K12"/>
    <mergeCell ref="L12:M12"/>
    <mergeCell ref="B14:D14"/>
    <mergeCell ref="E14:F14"/>
    <mergeCell ref="I14:K14"/>
    <mergeCell ref="L14:M14"/>
    <mergeCell ref="Q9:R9"/>
    <mergeCell ref="S9:U9"/>
    <mergeCell ref="B10:D10"/>
    <mergeCell ref="E10:F10"/>
    <mergeCell ref="I10:K10"/>
    <mergeCell ref="L10:M10"/>
    <mergeCell ref="E7:F7"/>
    <mergeCell ref="I7:K7"/>
    <mergeCell ref="L7:M7"/>
    <mergeCell ref="Q7:R7"/>
    <mergeCell ref="S7:U7"/>
    <mergeCell ref="E8:F8"/>
    <mergeCell ref="I8:K8"/>
    <mergeCell ref="L8:M8"/>
    <mergeCell ref="B2:F2"/>
    <mergeCell ref="I2:N2"/>
    <mergeCell ref="Q2:U2"/>
    <mergeCell ref="B5:D5"/>
    <mergeCell ref="E5:F5"/>
    <mergeCell ref="I5:K5"/>
    <mergeCell ref="L5:M5"/>
    <mergeCell ref="Q5:R5"/>
    <mergeCell ref="S5:U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অর্থ গ্রহণ</vt:lpstr>
      <vt:lpstr>মাতবাখ</vt:lpstr>
      <vt:lpstr>মাদরাসা</vt:lpstr>
      <vt:lpstr>বাকির হিসাব</vt:lpstr>
      <vt:lpstr>ড্যাশবোর্ড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 sa</dc:creator>
  <cp:lastModifiedBy>sa sa</cp:lastModifiedBy>
  <dcterms:created xsi:type="dcterms:W3CDTF">2026-05-02T23:21:02Z</dcterms:created>
  <dcterms:modified xsi:type="dcterms:W3CDTF">2026-05-02T23:22:34Z</dcterms:modified>
</cp:coreProperties>
</file>